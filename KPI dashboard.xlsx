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C:\Users\ADMIN\Desktop\Healthcare KPI Tracker\"/>
    </mc:Choice>
  </mc:AlternateContent>
  <xr:revisionPtr revIDLastSave="0" documentId="8_{C6394EF6-2CAA-45D3-8047-0BB7AFE7DDC8}" xr6:coauthVersionLast="47" xr6:coauthVersionMax="47" xr10:uidLastSave="{00000000-0000-0000-0000-000000000000}"/>
  <bookViews>
    <workbookView xWindow="-120" yWindow="-120" windowWidth="29040" windowHeight="15720" activeTab="2" xr2:uid="{00000000-000D-0000-FFFF-FFFF00000000}"/>
  </bookViews>
  <sheets>
    <sheet name="pivot_month" sheetId="4" r:id="rId1"/>
    <sheet name="Pivot_Admission" sheetId="5" r:id="rId2"/>
    <sheet name="Dashboard" sheetId="6" r:id="rId3"/>
    <sheet name="Sheet1" sheetId="1" r:id="rId4"/>
    <sheet name="KPI DASHBOARD" sheetId="2" r:id="rId5"/>
    <sheet name="PIVOT" sheetId="3" r:id="rId6"/>
  </sheets>
  <definedNames>
    <definedName name="Slicer_Admission_Type">#N/A</definedName>
    <definedName name="Slicer_Department">#N/A</definedName>
    <definedName name="Slicer_Gender">#N/A</definedName>
  </definedNames>
  <calcPr calcId="191029"/>
  <pivotCaches>
    <pivotCache cacheId="10"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6" l="1"/>
  <c r="D5" i="6"/>
  <c r="C5" i="6"/>
  <c r="B5" i="6"/>
  <c r="A5" i="6"/>
  <c r="B4" i="2"/>
  <c r="B3" i="2"/>
  <c r="B5" i="2"/>
  <c r="B2" i="2"/>
  <c r="B1"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alcChain>
</file>

<file path=xl/sharedStrings.xml><?xml version="1.0" encoding="utf-8"?>
<sst xmlns="http://schemas.openxmlformats.org/spreadsheetml/2006/main" count="649" uniqueCount="50">
  <si>
    <t>Patient_ID</t>
  </si>
  <si>
    <t>Admission_Date</t>
  </si>
  <si>
    <t>Discharge_Date</t>
  </si>
  <si>
    <t>Department</t>
  </si>
  <si>
    <t>Admission_Type</t>
  </si>
  <si>
    <t>Bed_Occupied</t>
  </si>
  <si>
    <t>Wait_Time_Minutes</t>
  </si>
  <si>
    <t>Outpatient</t>
  </si>
  <si>
    <t>Age</t>
  </si>
  <si>
    <t>Gender</t>
  </si>
  <si>
    <t>Doctor</t>
  </si>
  <si>
    <t>Bill_Amount</t>
  </si>
  <si>
    <t>Cardiology</t>
  </si>
  <si>
    <t>Emergency</t>
  </si>
  <si>
    <t>Yes</t>
  </si>
  <si>
    <t>No</t>
  </si>
  <si>
    <t>M</t>
  </si>
  <si>
    <t>Dr Sharma</t>
  </si>
  <si>
    <t>Orthopedics</t>
  </si>
  <si>
    <t>Planned</t>
  </si>
  <si>
    <t>F</t>
  </si>
  <si>
    <t>Dr Mehta</t>
  </si>
  <si>
    <t>General Medicine</t>
  </si>
  <si>
    <t>OPD</t>
  </si>
  <si>
    <t>Dr Khan</t>
  </si>
  <si>
    <t>Neurology</t>
  </si>
  <si>
    <t>Dr Verma</t>
  </si>
  <si>
    <t>Pediatrics</t>
  </si>
  <si>
    <t>Dr Rao</t>
  </si>
  <si>
    <t>Dermatology</t>
  </si>
  <si>
    <t>Dr Singh</t>
  </si>
  <si>
    <t>ENT</t>
  </si>
  <si>
    <t>Dr Bansal</t>
  </si>
  <si>
    <t>Gynecology</t>
  </si>
  <si>
    <t>Dr Kapoor</t>
  </si>
  <si>
    <t>Length_of_Stay</t>
  </si>
  <si>
    <t>Month</t>
  </si>
  <si>
    <t>Total Patients</t>
  </si>
  <si>
    <t>Bed Occupancy %</t>
  </si>
  <si>
    <t>Average Length of Stay</t>
  </si>
  <si>
    <t>Average Wait Time</t>
  </si>
  <si>
    <t>Outpatient %</t>
  </si>
  <si>
    <t>Row Labels</t>
  </si>
  <si>
    <t>Grand Total</t>
  </si>
  <si>
    <t>Count of Patient_ID</t>
  </si>
  <si>
    <t>Jan</t>
  </si>
  <si>
    <t>Feb</t>
  </si>
  <si>
    <t>Mar</t>
  </si>
  <si>
    <t>Apr</t>
  </si>
  <si>
    <t xml:space="preserve">Healthcare KPI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</si>
</sst>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2"/>
      <scheme val="minor"/>
    </font>
    <font>
      <sz val="26"/>
      <color theme="0"/>
      <name val="Times New Roman"/>
      <family val="1"/>
    </font>
    <font>
      <b/>
      <sz val="20"/>
      <color theme="1"/>
      <name val="Calibri"/>
      <family val="2"/>
      <scheme val="minor"/>
    </font>
    <font>
      <sz val="20"/>
      <color theme="1"/>
      <name val="Calibri"/>
      <family val="2"/>
      <scheme val="minor"/>
    </font>
  </fonts>
  <fills count="5">
    <fill>
      <patternFill patternType="none"/>
    </fill>
    <fill>
      <patternFill patternType="gray125"/>
    </fill>
    <fill>
      <patternFill patternType="solid">
        <fgColor theme="8" tint="-0.249977111117893"/>
        <bgColor indexed="64"/>
      </patternFill>
    </fill>
    <fill>
      <patternFill patternType="solid">
        <fgColor theme="4" tint="0.59999389629810485"/>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14" fontId="0" fillId="0" borderId="0" xfId="0" applyNumberFormat="1"/>
    <xf numFmtId="0" fontId="1" fillId="0" borderId="0" xfId="0" applyFont="1"/>
    <xf numFmtId="9" fontId="0" fillId="0" borderId="0" xfId="1" applyFont="1"/>
    <xf numFmtId="9" fontId="0" fillId="0" borderId="0" xfId="1" applyNumberFormat="1" applyFont="1"/>
    <xf numFmtId="0"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3" fillId="2" borderId="0" xfId="0" applyFont="1" applyFill="1" applyAlignment="1">
      <alignment horizontal="center"/>
    </xf>
    <xf numFmtId="0" fontId="4" fillId="3" borderId="0" xfId="0" applyFont="1" applyFill="1"/>
    <xf numFmtId="0" fontId="5" fillId="4" borderId="0" xfId="0" applyFont="1" applyFill="1"/>
    <xf numFmtId="9" fontId="5" fillId="4" borderId="0" xfId="0" applyNumberFormat="1" applyFont="1" applyFill="1"/>
  </cellXfs>
  <cellStyles count="2">
    <cellStyle name="Normal" xfId="0" builtinId="0"/>
    <cellStyle name="Percent" xfId="1" builtinId="5"/>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dashboard.xlsx]pivot_month!PivotTable3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Monthly patient trends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pivot_month!$B$3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pivot_month!$A$4:$A$8</c:f>
              <c:strCache>
                <c:ptCount val="4"/>
                <c:pt idx="0">
                  <c:v>Jan</c:v>
                </c:pt>
                <c:pt idx="1">
                  <c:v>Feb</c:v>
                </c:pt>
                <c:pt idx="2">
                  <c:v>Mar</c:v>
                </c:pt>
                <c:pt idx="3">
                  <c:v>Apr</c:v>
                </c:pt>
              </c:strCache>
            </c:strRef>
          </c:cat>
          <c:val>
            <c:numRef>
              <c:f>pivot_month!$B$4:$B$8</c:f>
              <c:numCache>
                <c:formatCode>General</c:formatCode>
                <c:ptCount val="4"/>
                <c:pt idx="0">
                  <c:v>30</c:v>
                </c:pt>
                <c:pt idx="1">
                  <c:v>28</c:v>
                </c:pt>
                <c:pt idx="2">
                  <c:v>31</c:v>
                </c:pt>
                <c:pt idx="3">
                  <c:v>11</c:v>
                </c:pt>
              </c:numCache>
            </c:numRef>
          </c:val>
          <c:smooth val="0"/>
          <c:extLst>
            <c:ext xmlns:c16="http://schemas.microsoft.com/office/drawing/2014/chart" uri="{C3380CC4-5D6E-409C-BE32-E72D297353CC}">
              <c16:uniqueId val="{00000000-A993-45D7-961E-A0DF83D40CA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24352336"/>
        <c:axId val="424347296"/>
      </c:lineChart>
      <c:catAx>
        <c:axId val="42435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24347296"/>
        <c:crosses val="autoZero"/>
        <c:auto val="1"/>
        <c:lblAlgn val="ctr"/>
        <c:lblOffset val="100"/>
        <c:noMultiLvlLbl val="0"/>
      </c:catAx>
      <c:valAx>
        <c:axId val="424347296"/>
        <c:scaling>
          <c:orientation val="minMax"/>
        </c:scaling>
        <c:delete val="1"/>
        <c:axPos val="l"/>
        <c:numFmt formatCode="General" sourceLinked="1"/>
        <c:majorTickMark val="none"/>
        <c:minorTickMark val="none"/>
        <c:tickLblPos val="nextTo"/>
        <c:crossAx val="4243523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dashboard.xlsx]Pivot_Admission!PivotTable4</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800" b="1" i="0" u="none" strike="noStrike" baseline="0"/>
              <a:t>Emergency vs Planned vs OPD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0.10892793731665885"/>
              <c:y val="-7.518931174483170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3156862745098039"/>
                  <c:h val="0.16635971399894484"/>
                </c:manualLayout>
              </c15:layout>
            </c:ext>
          </c:extLst>
        </c:dLbl>
      </c:pivotFmt>
      <c:pivotFmt>
        <c:idx val="2"/>
        <c:spPr>
          <a:solidFill>
            <a:schemeClr val="accent3"/>
          </a:solidFill>
          <a:ln>
            <a:noFill/>
          </a:ln>
          <a:effectLst>
            <a:outerShdw blurRad="317500" algn="ctr" rotWithShape="0">
              <a:prstClr val="black">
                <a:alpha val="25000"/>
              </a:prstClr>
            </a:outerShdw>
          </a:effectLst>
        </c:spPr>
        <c:dLbl>
          <c:idx val="0"/>
          <c:layout>
            <c:manualLayout>
              <c:x val="-6.1217191601049867E-2"/>
              <c:y val="-7.12091709532401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317500" algn="ctr" rotWithShape="0">
              <a:prstClr val="black">
                <a:alpha val="25000"/>
              </a:prstClr>
            </a:outerShdw>
          </a:effectLst>
        </c:spPr>
        <c:dLbl>
          <c:idx val="0"/>
          <c:layout>
            <c:manualLayout>
              <c:x val="-0.20521074571560907"/>
              <c:y val="-0.154703832535193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Pivot_Admission!$B$3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C3FF-4415-BCF2-D4F515E837E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C3FF-4415-BCF2-D4F515E837E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3FF-4415-BCF2-D4F515E837E5}"/>
              </c:ext>
            </c:extLst>
          </c:dPt>
          <c:dLbls>
            <c:dLbl>
              <c:idx val="0"/>
              <c:layout>
                <c:manualLayout>
                  <c:x val="0.10892793731665885"/>
                  <c:y val="-7.518931174483170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3156862745098039"/>
                      <c:h val="0.16635971399894484"/>
                    </c:manualLayout>
                  </c15:layout>
                </c:ext>
                <c:ext xmlns:c16="http://schemas.microsoft.com/office/drawing/2014/chart" uri="{C3380CC4-5D6E-409C-BE32-E72D297353CC}">
                  <c16:uniqueId val="{00000002-C3FF-4415-BCF2-D4F515E837E5}"/>
                </c:ext>
              </c:extLst>
            </c:dLbl>
            <c:dLbl>
              <c:idx val="1"/>
              <c:layout>
                <c:manualLayout>
                  <c:x val="-0.20521074571560907"/>
                  <c:y val="-0.1547038325351939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3FF-4415-BCF2-D4F515E837E5}"/>
                </c:ext>
              </c:extLst>
            </c:dLbl>
            <c:dLbl>
              <c:idx val="2"/>
              <c:layout>
                <c:manualLayout>
                  <c:x val="-6.1217191601049867E-2"/>
                  <c:y val="-7.120917095324012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3FF-4415-BCF2-D4F515E837E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Pivot_Admission!$A$4:$A$7</c:f>
              <c:strCache>
                <c:ptCount val="3"/>
                <c:pt idx="0">
                  <c:v>Emergency</c:v>
                </c:pt>
                <c:pt idx="1">
                  <c:v>OPD</c:v>
                </c:pt>
                <c:pt idx="2">
                  <c:v>Planned</c:v>
                </c:pt>
              </c:strCache>
            </c:strRef>
          </c:cat>
          <c:val>
            <c:numRef>
              <c:f>Pivot_Admission!$B$4:$B$7</c:f>
              <c:numCache>
                <c:formatCode>General</c:formatCode>
                <c:ptCount val="3"/>
                <c:pt idx="0">
                  <c:v>32</c:v>
                </c:pt>
                <c:pt idx="1">
                  <c:v>44</c:v>
                </c:pt>
                <c:pt idx="2">
                  <c:v>24</c:v>
                </c:pt>
              </c:numCache>
            </c:numRef>
          </c:val>
          <c:extLst>
            <c:ext xmlns:c16="http://schemas.microsoft.com/office/drawing/2014/chart" uri="{C3380CC4-5D6E-409C-BE32-E72D297353CC}">
              <c16:uniqueId val="{00000000-C3FF-4415-BCF2-D4F515E837E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dashboard.xlsx]PIVOT!PivotTable1</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800" b="1" i="0" u="none" strike="noStrike" cap="all" baseline="0"/>
              <a:t>Department-wise Admissions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PIVOT!$A$4:$A$12</c:f>
              <c:strCache>
                <c:ptCount val="8"/>
                <c:pt idx="0">
                  <c:v>Cardiology</c:v>
                </c:pt>
                <c:pt idx="1">
                  <c:v>Dermatology</c:v>
                </c:pt>
                <c:pt idx="2">
                  <c:v>ENT</c:v>
                </c:pt>
                <c:pt idx="3">
                  <c:v>General Medicine</c:v>
                </c:pt>
                <c:pt idx="4">
                  <c:v>Gynecology</c:v>
                </c:pt>
                <c:pt idx="5">
                  <c:v>Neurology</c:v>
                </c:pt>
                <c:pt idx="6">
                  <c:v>Orthopedics</c:v>
                </c:pt>
                <c:pt idx="7">
                  <c:v>Pediatrics</c:v>
                </c:pt>
              </c:strCache>
            </c:strRef>
          </c:cat>
          <c:val>
            <c:numRef>
              <c:f>PIVOT!$B$4:$B$12</c:f>
              <c:numCache>
                <c:formatCode>General</c:formatCode>
                <c:ptCount val="8"/>
                <c:pt idx="0">
                  <c:v>13</c:v>
                </c:pt>
                <c:pt idx="1">
                  <c:v>12</c:v>
                </c:pt>
                <c:pt idx="2">
                  <c:v>12</c:v>
                </c:pt>
                <c:pt idx="3">
                  <c:v>12</c:v>
                </c:pt>
                <c:pt idx="4">
                  <c:v>12</c:v>
                </c:pt>
                <c:pt idx="5">
                  <c:v>13</c:v>
                </c:pt>
                <c:pt idx="6">
                  <c:v>13</c:v>
                </c:pt>
                <c:pt idx="7">
                  <c:v>13</c:v>
                </c:pt>
              </c:numCache>
            </c:numRef>
          </c:val>
          <c:extLst>
            <c:ext xmlns:c16="http://schemas.microsoft.com/office/drawing/2014/chart" uri="{C3380CC4-5D6E-409C-BE32-E72D297353CC}">
              <c16:uniqueId val="{00000000-4FFE-43CB-BDE0-8B53E14B85DB}"/>
            </c:ext>
          </c:extLst>
        </c:ser>
        <c:dLbls>
          <c:showLegendKey val="0"/>
          <c:showVal val="0"/>
          <c:showCatName val="0"/>
          <c:showSerName val="0"/>
          <c:showPercent val="0"/>
          <c:showBubbleSize val="0"/>
        </c:dLbls>
        <c:gapWidth val="160"/>
        <c:gapDepth val="0"/>
        <c:shape val="box"/>
        <c:axId val="429298112"/>
        <c:axId val="429274712"/>
        <c:axId val="0"/>
      </c:bar3DChart>
      <c:catAx>
        <c:axId val="429298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74712"/>
        <c:crosses val="autoZero"/>
        <c:auto val="1"/>
        <c:lblAlgn val="ctr"/>
        <c:lblOffset val="100"/>
        <c:noMultiLvlLbl val="0"/>
      </c:catAx>
      <c:valAx>
        <c:axId val="429274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9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dashboard.xlsx]Pivot_Admission!PivotTable4</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800" b="1" i="0" u="none" strike="noStrike" baseline="0"/>
              <a:t>Emergency vs Planned vs OPD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0.10892793731665885"/>
              <c:y val="-7.518931174483170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3156862745098039"/>
                  <c:h val="0.16635971399894484"/>
                </c:manualLayout>
              </c15:layout>
            </c:ext>
          </c:extLst>
        </c:dLbl>
      </c:pivotFmt>
      <c:pivotFmt>
        <c:idx val="2"/>
        <c:spPr>
          <a:solidFill>
            <a:schemeClr val="accent3"/>
          </a:solidFill>
          <a:ln>
            <a:noFill/>
          </a:ln>
          <a:effectLst>
            <a:outerShdw blurRad="317500" algn="ctr" rotWithShape="0">
              <a:prstClr val="black">
                <a:alpha val="25000"/>
              </a:prstClr>
            </a:outerShdw>
          </a:effectLst>
        </c:spPr>
        <c:dLbl>
          <c:idx val="0"/>
          <c:layout>
            <c:manualLayout>
              <c:x val="-6.1217191601049867E-2"/>
              <c:y val="-7.12091709532401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317500" algn="ctr" rotWithShape="0">
              <a:prstClr val="black">
                <a:alpha val="25000"/>
              </a:prstClr>
            </a:outerShdw>
          </a:effectLst>
        </c:spPr>
        <c:dLbl>
          <c:idx val="0"/>
          <c:layout>
            <c:manualLayout>
              <c:x val="-0.20521074571560907"/>
              <c:y val="-0.154703832535193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10892793731665885"/>
              <c:y val="-7.518931174483170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3156862745098039"/>
                  <c:h val="0.16635971399894484"/>
                </c:manualLayout>
              </c15:layout>
            </c:ext>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0.20521074571560907"/>
              <c:y val="-0.154703832535193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6.1217191601049867E-2"/>
              <c:y val="-7.12091709532401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0.10892793731665885"/>
              <c:y val="-7.518931174483170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3156862745098039"/>
                  <c:h val="0.16635971399894484"/>
                </c:manualLayout>
              </c15:layout>
            </c:ext>
          </c:extLst>
        </c:dLbl>
      </c:pivotFmt>
      <c:pivotFmt>
        <c:idx val="10"/>
        <c:spPr>
          <a:solidFill>
            <a:schemeClr val="accent1"/>
          </a:solidFill>
          <a:ln>
            <a:noFill/>
          </a:ln>
          <a:effectLst>
            <a:outerShdw blurRad="317500" algn="ctr" rotWithShape="0">
              <a:prstClr val="black">
                <a:alpha val="25000"/>
              </a:prstClr>
            </a:outerShdw>
          </a:effectLst>
        </c:spPr>
        <c:dLbl>
          <c:idx val="0"/>
          <c:layout>
            <c:manualLayout>
              <c:x val="-0.20521074571560907"/>
              <c:y val="-0.154703832535193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dLbl>
          <c:idx val="0"/>
          <c:layout>
            <c:manualLayout>
              <c:x val="-6.1217191601049867E-2"/>
              <c:y val="-7.12091709532401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Pivot_Admission!$B$3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D56-46D1-BB3F-0F4A23FB41D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D56-46D1-BB3F-0F4A23FB41D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D56-46D1-BB3F-0F4A23FB41D4}"/>
              </c:ext>
            </c:extLst>
          </c:dPt>
          <c:dLbls>
            <c:dLbl>
              <c:idx val="0"/>
              <c:layout>
                <c:manualLayout>
                  <c:x val="0.10892793731665885"/>
                  <c:y val="-7.518931174483170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3156862745098039"/>
                      <c:h val="0.16635971399894484"/>
                    </c:manualLayout>
                  </c15:layout>
                </c:ext>
                <c:ext xmlns:c16="http://schemas.microsoft.com/office/drawing/2014/chart" uri="{C3380CC4-5D6E-409C-BE32-E72D297353CC}">
                  <c16:uniqueId val="{00000001-ED56-46D1-BB3F-0F4A23FB41D4}"/>
                </c:ext>
              </c:extLst>
            </c:dLbl>
            <c:dLbl>
              <c:idx val="1"/>
              <c:layout>
                <c:manualLayout>
                  <c:x val="-0.20521074571560907"/>
                  <c:y val="-0.1547038325351939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56-46D1-BB3F-0F4A23FB41D4}"/>
                </c:ext>
              </c:extLst>
            </c:dLbl>
            <c:dLbl>
              <c:idx val="2"/>
              <c:layout>
                <c:manualLayout>
                  <c:x val="-6.1217191601049867E-2"/>
                  <c:y val="-7.120917095324012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D56-46D1-BB3F-0F4A23FB41D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Pivot_Admission!$A$4:$A$7</c:f>
              <c:strCache>
                <c:ptCount val="3"/>
                <c:pt idx="0">
                  <c:v>Emergency</c:v>
                </c:pt>
                <c:pt idx="1">
                  <c:v>OPD</c:v>
                </c:pt>
                <c:pt idx="2">
                  <c:v>Planned</c:v>
                </c:pt>
              </c:strCache>
            </c:strRef>
          </c:cat>
          <c:val>
            <c:numRef>
              <c:f>Pivot_Admission!$B$4:$B$7</c:f>
              <c:numCache>
                <c:formatCode>General</c:formatCode>
                <c:ptCount val="3"/>
                <c:pt idx="0">
                  <c:v>32</c:v>
                </c:pt>
                <c:pt idx="1">
                  <c:v>44</c:v>
                </c:pt>
                <c:pt idx="2">
                  <c:v>24</c:v>
                </c:pt>
              </c:numCache>
            </c:numRef>
          </c:val>
          <c:extLst>
            <c:ext xmlns:c16="http://schemas.microsoft.com/office/drawing/2014/chart" uri="{C3380CC4-5D6E-409C-BE32-E72D297353CC}">
              <c16:uniqueId val="{00000006-ED56-46D1-BB3F-0F4A23FB41D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dashboard.xlsx]pivot_month!PivotTable3</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Monthly patient trends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pivot_month!$B$3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pivot_month!$A$4:$A$8</c:f>
              <c:strCache>
                <c:ptCount val="4"/>
                <c:pt idx="0">
                  <c:v>Jan</c:v>
                </c:pt>
                <c:pt idx="1">
                  <c:v>Feb</c:v>
                </c:pt>
                <c:pt idx="2">
                  <c:v>Mar</c:v>
                </c:pt>
                <c:pt idx="3">
                  <c:v>Apr</c:v>
                </c:pt>
              </c:strCache>
            </c:strRef>
          </c:cat>
          <c:val>
            <c:numRef>
              <c:f>pivot_month!$B$4:$B$8</c:f>
              <c:numCache>
                <c:formatCode>General</c:formatCode>
                <c:ptCount val="4"/>
                <c:pt idx="0">
                  <c:v>30</c:v>
                </c:pt>
                <c:pt idx="1">
                  <c:v>28</c:v>
                </c:pt>
                <c:pt idx="2">
                  <c:v>31</c:v>
                </c:pt>
                <c:pt idx="3">
                  <c:v>11</c:v>
                </c:pt>
              </c:numCache>
            </c:numRef>
          </c:val>
          <c:smooth val="0"/>
          <c:extLst>
            <c:ext xmlns:c16="http://schemas.microsoft.com/office/drawing/2014/chart" uri="{C3380CC4-5D6E-409C-BE32-E72D297353CC}">
              <c16:uniqueId val="{00000000-5BEA-4F2E-B83A-72EA10FB489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24352336"/>
        <c:axId val="424347296"/>
      </c:lineChart>
      <c:catAx>
        <c:axId val="42435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24347296"/>
        <c:crosses val="autoZero"/>
        <c:auto val="1"/>
        <c:lblAlgn val="ctr"/>
        <c:lblOffset val="100"/>
        <c:noMultiLvlLbl val="0"/>
      </c:catAx>
      <c:valAx>
        <c:axId val="424347296"/>
        <c:scaling>
          <c:orientation val="minMax"/>
        </c:scaling>
        <c:delete val="1"/>
        <c:axPos val="l"/>
        <c:numFmt formatCode="General" sourceLinked="1"/>
        <c:majorTickMark val="none"/>
        <c:minorTickMark val="none"/>
        <c:tickLblPos val="nextTo"/>
        <c:crossAx val="4243523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dashboard.xlsx]PIVOT!PivotTable1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800" b="1" i="0" u="none" strike="noStrike" cap="all" baseline="0"/>
              <a:t>Department-wise Admissions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PIVOT!$A$4:$A$12</c:f>
              <c:strCache>
                <c:ptCount val="8"/>
                <c:pt idx="0">
                  <c:v>Cardiology</c:v>
                </c:pt>
                <c:pt idx="1">
                  <c:v>Dermatology</c:v>
                </c:pt>
                <c:pt idx="2">
                  <c:v>ENT</c:v>
                </c:pt>
                <c:pt idx="3">
                  <c:v>General Medicine</c:v>
                </c:pt>
                <c:pt idx="4">
                  <c:v>Gynecology</c:v>
                </c:pt>
                <c:pt idx="5">
                  <c:v>Neurology</c:v>
                </c:pt>
                <c:pt idx="6">
                  <c:v>Orthopedics</c:v>
                </c:pt>
                <c:pt idx="7">
                  <c:v>Pediatrics</c:v>
                </c:pt>
              </c:strCache>
            </c:strRef>
          </c:cat>
          <c:val>
            <c:numRef>
              <c:f>PIVOT!$B$4:$B$12</c:f>
              <c:numCache>
                <c:formatCode>General</c:formatCode>
                <c:ptCount val="8"/>
                <c:pt idx="0">
                  <c:v>13</c:v>
                </c:pt>
                <c:pt idx="1">
                  <c:v>12</c:v>
                </c:pt>
                <c:pt idx="2">
                  <c:v>12</c:v>
                </c:pt>
                <c:pt idx="3">
                  <c:v>12</c:v>
                </c:pt>
                <c:pt idx="4">
                  <c:v>12</c:v>
                </c:pt>
                <c:pt idx="5">
                  <c:v>13</c:v>
                </c:pt>
                <c:pt idx="6">
                  <c:v>13</c:v>
                </c:pt>
                <c:pt idx="7">
                  <c:v>13</c:v>
                </c:pt>
              </c:numCache>
            </c:numRef>
          </c:val>
          <c:extLst>
            <c:ext xmlns:c16="http://schemas.microsoft.com/office/drawing/2014/chart" uri="{C3380CC4-5D6E-409C-BE32-E72D297353CC}">
              <c16:uniqueId val="{00000000-6F55-4EAB-9005-75B7E1C7685D}"/>
            </c:ext>
          </c:extLst>
        </c:ser>
        <c:dLbls>
          <c:showLegendKey val="0"/>
          <c:showVal val="0"/>
          <c:showCatName val="0"/>
          <c:showSerName val="0"/>
          <c:showPercent val="0"/>
          <c:showBubbleSize val="0"/>
        </c:dLbls>
        <c:gapWidth val="160"/>
        <c:gapDepth val="0"/>
        <c:shape val="box"/>
        <c:axId val="429298112"/>
        <c:axId val="429274712"/>
        <c:axId val="0"/>
      </c:bar3DChart>
      <c:catAx>
        <c:axId val="429298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74712"/>
        <c:crosses val="autoZero"/>
        <c:auto val="1"/>
        <c:lblAlgn val="ctr"/>
        <c:lblOffset val="100"/>
        <c:noMultiLvlLbl val="0"/>
      </c:catAx>
      <c:valAx>
        <c:axId val="429274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9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302172</xdr:colOff>
      <xdr:row>1</xdr:row>
      <xdr:rowOff>181959</xdr:rowOff>
    </xdr:from>
    <xdr:to>
      <xdr:col>10</xdr:col>
      <xdr:colOff>39413</xdr:colOff>
      <xdr:row>16</xdr:row>
      <xdr:rowOff>144516</xdr:rowOff>
    </xdr:to>
    <xdr:graphicFrame macro="">
      <xdr:nvGraphicFramePr>
        <xdr:cNvPr id="2" name="Chart 1">
          <a:extLst>
            <a:ext uri="{FF2B5EF4-FFF2-40B4-BE49-F238E27FC236}">
              <a16:creationId xmlns:a16="http://schemas.microsoft.com/office/drawing/2014/main" id="{FED2B50D-A3A8-5691-D8E5-E5C4176D3B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1</xdr:row>
      <xdr:rowOff>185736</xdr:rowOff>
    </xdr:from>
    <xdr:to>
      <xdr:col>12</xdr:col>
      <xdr:colOff>0</xdr:colOff>
      <xdr:row>18</xdr:row>
      <xdr:rowOff>152399</xdr:rowOff>
    </xdr:to>
    <xdr:graphicFrame macro="">
      <xdr:nvGraphicFramePr>
        <xdr:cNvPr id="2" name="Chart 1">
          <a:extLst>
            <a:ext uri="{FF2B5EF4-FFF2-40B4-BE49-F238E27FC236}">
              <a16:creationId xmlns:a16="http://schemas.microsoft.com/office/drawing/2014/main" id="{BDAEAE88-8C72-6415-60B6-5D0E46CB51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219077</xdr:colOff>
      <xdr:row>8</xdr:row>
      <xdr:rowOff>66675</xdr:rowOff>
    </xdr:from>
    <xdr:to>
      <xdr:col>2</xdr:col>
      <xdr:colOff>779319</xdr:colOff>
      <xdr:row>23</xdr:row>
      <xdr:rowOff>0</xdr:rowOff>
    </xdr:to>
    <xdr:graphicFrame macro="">
      <xdr:nvGraphicFramePr>
        <xdr:cNvPr id="2" name="Chart 1">
          <a:extLst>
            <a:ext uri="{FF2B5EF4-FFF2-40B4-BE49-F238E27FC236}">
              <a16:creationId xmlns:a16="http://schemas.microsoft.com/office/drawing/2014/main" id="{D9A33493-F0BB-4372-866F-8C7413B84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1891145</xdr:colOff>
      <xdr:row>8</xdr:row>
      <xdr:rowOff>134470</xdr:rowOff>
    </xdr:from>
    <xdr:to>
      <xdr:col>4</xdr:col>
      <xdr:colOff>1368137</xdr:colOff>
      <xdr:row>23</xdr:row>
      <xdr:rowOff>86591</xdr:rowOff>
    </xdr:to>
    <xdr:graphicFrame macro="">
      <xdr:nvGraphicFramePr>
        <xdr:cNvPr id="3" name="Chart 2">
          <a:extLst>
            <a:ext uri="{FF2B5EF4-FFF2-40B4-BE49-F238E27FC236}">
              <a16:creationId xmlns:a16="http://schemas.microsoft.com/office/drawing/2014/main" id="{C54FCB8A-EF55-48A2-A63B-6D14FF0E2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1134850</xdr:colOff>
      <xdr:row>25</xdr:row>
      <xdr:rowOff>96777</xdr:rowOff>
    </xdr:from>
    <xdr:to>
      <xdr:col>3</xdr:col>
      <xdr:colOff>1129335</xdr:colOff>
      <xdr:row>40</xdr:row>
      <xdr:rowOff>59334</xdr:rowOff>
    </xdr:to>
    <xdr:graphicFrame macro="">
      <xdr:nvGraphicFramePr>
        <xdr:cNvPr id="4" name="Chart 3">
          <a:extLst>
            <a:ext uri="{FF2B5EF4-FFF2-40B4-BE49-F238E27FC236}">
              <a16:creationId xmlns:a16="http://schemas.microsoft.com/office/drawing/2014/main" id="{885C10B0-5F14-4536-ACE2-0D5F10535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308162</xdr:colOff>
      <xdr:row>1</xdr:row>
      <xdr:rowOff>182656</xdr:rowOff>
    </xdr:from>
    <xdr:to>
      <xdr:col>8</xdr:col>
      <xdr:colOff>321609</xdr:colOff>
      <xdr:row>15</xdr:row>
      <xdr:rowOff>44823</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A8490DB8-B7B4-4A99-F4CC-686868B5595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270191" y="597274"/>
              <a:ext cx="1828800" cy="2820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280148</xdr:colOff>
      <xdr:row>17</xdr:row>
      <xdr:rowOff>76200</xdr:rowOff>
    </xdr:from>
    <xdr:to>
      <xdr:col>8</xdr:col>
      <xdr:colOff>293595</xdr:colOff>
      <xdr:row>23</xdr:row>
      <xdr:rowOff>168089</xdr:rowOff>
    </xdr:to>
    <mc:AlternateContent xmlns:mc="http://schemas.openxmlformats.org/markup-compatibility/2006">
      <mc:Choice xmlns:a14="http://schemas.microsoft.com/office/drawing/2010/main" Requires="a14">
        <xdr:graphicFrame macro="">
          <xdr:nvGraphicFramePr>
            <xdr:cNvPr id="6" name="Admission_Type">
              <a:extLst>
                <a:ext uri="{FF2B5EF4-FFF2-40B4-BE49-F238E27FC236}">
                  <a16:creationId xmlns:a16="http://schemas.microsoft.com/office/drawing/2014/main" id="{8CF5FE1A-80F8-C2F4-7777-4DBE10945FF5}"/>
                </a:ext>
              </a:extLst>
            </xdr:cNvPr>
            <xdr:cNvGraphicFramePr/>
          </xdr:nvGraphicFramePr>
          <xdr:xfrm>
            <a:off x="0" y="0"/>
            <a:ext cx="0" cy="0"/>
          </xdr:xfrm>
          <a:graphic>
            <a:graphicData uri="http://schemas.microsoft.com/office/drawing/2010/slicer">
              <sle:slicer xmlns:sle="http://schemas.microsoft.com/office/drawing/2010/slicer" name="Admission_Type"/>
            </a:graphicData>
          </a:graphic>
        </xdr:graphicFrame>
      </mc:Choice>
      <mc:Fallback>
        <xdr:sp macro="" textlink="">
          <xdr:nvSpPr>
            <xdr:cNvPr id="0" name=""/>
            <xdr:cNvSpPr>
              <a:spLocks noTextEdit="1"/>
            </xdr:cNvSpPr>
          </xdr:nvSpPr>
          <xdr:spPr>
            <a:xfrm>
              <a:off x="10242177" y="3830171"/>
              <a:ext cx="1828800" cy="1234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291353</xdr:colOff>
      <xdr:row>26</xdr:row>
      <xdr:rowOff>125506</xdr:rowOff>
    </xdr:from>
    <xdr:to>
      <xdr:col>8</xdr:col>
      <xdr:colOff>304800</xdr:colOff>
      <xdr:row>32</xdr:row>
      <xdr:rowOff>112059</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D65BAAD9-2360-3669-0632-AD92FD13E06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253382" y="5593977"/>
              <a:ext cx="1828800" cy="1129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104775</xdr:colOff>
      <xdr:row>1</xdr:row>
      <xdr:rowOff>90487</xdr:rowOff>
    </xdr:from>
    <xdr:to>
      <xdr:col>13</xdr:col>
      <xdr:colOff>504825</xdr:colOff>
      <xdr:row>24</xdr:row>
      <xdr:rowOff>9525</xdr:rowOff>
    </xdr:to>
    <xdr:graphicFrame macro="">
      <xdr:nvGraphicFramePr>
        <xdr:cNvPr id="2" name="Chart 1">
          <a:extLst>
            <a:ext uri="{FF2B5EF4-FFF2-40B4-BE49-F238E27FC236}">
              <a16:creationId xmlns:a16="http://schemas.microsoft.com/office/drawing/2014/main" id="{0FC1F119-0066-1A40-1D36-F9534A043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8.485904745372" createdVersion="8" refreshedVersion="8" minRefreshableVersion="3" recordCount="100" xr:uid="{6D4FD051-124F-4D0C-8537-8E48A671C271}">
  <cacheSource type="worksheet">
    <worksheetSource name="hospital_data"/>
  </cacheSource>
  <cacheFields count="14">
    <cacheField name="Patient_ID" numFmtId="0">
      <sharedItems containsSemiMixedTypes="0" containsString="0" containsNumber="1" containsInteger="1" minValue="1001" maxValue="1100"/>
    </cacheField>
    <cacheField name="Admission_Date" numFmtId="14">
      <sharedItems containsSemiMixedTypes="0" containsNonDate="0" containsDate="1" containsString="0" minDate="2025-01-02T00:00:00" maxDate="2025-04-12T00:00:00"/>
    </cacheField>
    <cacheField name="Discharge_Date" numFmtId="14">
      <sharedItems containsSemiMixedTypes="0" containsNonDate="0" containsDate="1" containsString="0" minDate="2025-01-03T00:00:00" maxDate="2025-04-15T00:00:00"/>
    </cacheField>
    <cacheField name="Department" numFmtId="0">
      <sharedItems count="8">
        <s v="Cardiology"/>
        <s v="Orthopedics"/>
        <s v="General Medicine"/>
        <s v="Neurology"/>
        <s v="Pediatrics"/>
        <s v="Dermatology"/>
        <s v="ENT"/>
        <s v="Gynecology"/>
      </sharedItems>
    </cacheField>
    <cacheField name="Admission_Type" numFmtId="0">
      <sharedItems count="3">
        <s v="Emergency"/>
        <s v="Planned"/>
        <s v="OPD"/>
      </sharedItems>
    </cacheField>
    <cacheField name="Bed_Occupied" numFmtId="0">
      <sharedItems/>
    </cacheField>
    <cacheField name="Wait_Time_Minutes" numFmtId="0">
      <sharedItems containsSemiMixedTypes="0" containsString="0" containsNumber="1" containsInteger="1" minValue="8" maxValue="72"/>
    </cacheField>
    <cacheField name="Outpatient" numFmtId="0">
      <sharedItems/>
    </cacheField>
    <cacheField name="Age" numFmtId="0">
      <sharedItems containsSemiMixedTypes="0" containsString="0" containsNumber="1" containsInteger="1" minValue="5" maxValue="75"/>
    </cacheField>
    <cacheField name="Gender" numFmtId="0">
      <sharedItems count="2">
        <s v="M"/>
        <s v="F"/>
      </sharedItems>
    </cacheField>
    <cacheField name="Doctor" numFmtId="0">
      <sharedItems/>
    </cacheField>
    <cacheField name="Bill_Amount" numFmtId="0">
      <sharedItems containsSemiMixedTypes="0" containsString="0" containsNumber="1" containsInteger="1" minValue="1800" maxValue="59000"/>
    </cacheField>
    <cacheField name="Length_of_Stay" numFmtId="0">
      <sharedItems containsSemiMixedTypes="0" containsString="0" containsNumber="1" containsInteger="1" minValue="0" maxValue="5"/>
    </cacheField>
    <cacheField name="Month" numFmtId="0">
      <sharedItems count="4">
        <s v="Jan"/>
        <s v="Feb"/>
        <s v="Mar"/>
        <s v="Apr"/>
      </sharedItems>
    </cacheField>
  </cacheFields>
  <extLst>
    <ext xmlns:x14="http://schemas.microsoft.com/office/spreadsheetml/2009/9/main" uri="{725AE2AE-9491-48be-B2B4-4EB974FC3084}">
      <x14:pivotCacheDefinition pivotCacheId="7763674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d v="2025-01-02T00:00:00"/>
    <d v="2025-01-05T00:00:00"/>
    <x v="0"/>
    <x v="0"/>
    <s v="Yes"/>
    <n v="45"/>
    <s v="No"/>
    <n v="56"/>
    <x v="0"/>
    <s v="Dr Sharma"/>
    <n v="25000"/>
    <n v="3"/>
    <x v="0"/>
  </r>
  <r>
    <n v="1002"/>
    <d v="2025-01-03T00:00:00"/>
    <d v="2025-01-04T00:00:00"/>
    <x v="1"/>
    <x v="1"/>
    <s v="Yes"/>
    <n v="20"/>
    <s v="No"/>
    <n v="42"/>
    <x v="1"/>
    <s v="Dr Mehta"/>
    <n v="18000"/>
    <n v="1"/>
    <x v="0"/>
  </r>
  <r>
    <n v="1003"/>
    <d v="2025-01-03T00:00:00"/>
    <d v="2025-01-03T00:00:00"/>
    <x v="2"/>
    <x v="2"/>
    <s v="No"/>
    <n v="15"/>
    <s v="Yes"/>
    <n v="29"/>
    <x v="0"/>
    <s v="Dr Khan"/>
    <n v="3000"/>
    <n v="0"/>
    <x v="0"/>
  </r>
  <r>
    <n v="1004"/>
    <d v="2025-01-04T00:00:00"/>
    <d v="2025-01-08T00:00:00"/>
    <x v="3"/>
    <x v="0"/>
    <s v="Yes"/>
    <n v="60"/>
    <s v="No"/>
    <n v="67"/>
    <x v="1"/>
    <s v="Dr Verma"/>
    <n v="40000"/>
    <n v="4"/>
    <x v="0"/>
  </r>
  <r>
    <n v="1005"/>
    <d v="2025-01-05T00:00:00"/>
    <d v="2025-01-06T00:00:00"/>
    <x v="4"/>
    <x v="2"/>
    <s v="No"/>
    <n v="10"/>
    <s v="Yes"/>
    <n v="8"/>
    <x v="1"/>
    <s v="Dr Rao"/>
    <n v="2500"/>
    <n v="1"/>
    <x v="0"/>
  </r>
  <r>
    <n v="1006"/>
    <d v="2025-01-06T00:00:00"/>
    <d v="2025-01-10T00:00:00"/>
    <x v="0"/>
    <x v="0"/>
    <s v="Yes"/>
    <n v="55"/>
    <s v="No"/>
    <n v="61"/>
    <x v="0"/>
    <s v="Dr Sharma"/>
    <n v="35000"/>
    <n v="4"/>
    <x v="0"/>
  </r>
  <r>
    <n v="1007"/>
    <d v="2025-01-07T00:00:00"/>
    <d v="2025-01-07T00:00:00"/>
    <x v="5"/>
    <x v="2"/>
    <s v="No"/>
    <n v="12"/>
    <s v="Yes"/>
    <n v="34"/>
    <x v="1"/>
    <s v="Dr Singh"/>
    <n v="2200"/>
    <n v="0"/>
    <x v="0"/>
  </r>
  <r>
    <n v="1008"/>
    <d v="2025-01-08T00:00:00"/>
    <d v="2025-01-12T00:00:00"/>
    <x v="1"/>
    <x v="1"/>
    <s v="Yes"/>
    <n v="25"/>
    <s v="No"/>
    <n v="49"/>
    <x v="0"/>
    <s v="Dr Mehta"/>
    <n v="28000"/>
    <n v="4"/>
    <x v="0"/>
  </r>
  <r>
    <n v="1009"/>
    <d v="2025-01-09T00:00:00"/>
    <d v="2025-01-09T00:00:00"/>
    <x v="6"/>
    <x v="2"/>
    <s v="No"/>
    <n v="18"/>
    <s v="Yes"/>
    <n v="23"/>
    <x v="1"/>
    <s v="Dr Bansal"/>
    <n v="1800"/>
    <n v="0"/>
    <x v="0"/>
  </r>
  <r>
    <n v="1010"/>
    <d v="2025-01-10T00:00:00"/>
    <d v="2025-01-15T00:00:00"/>
    <x v="3"/>
    <x v="0"/>
    <s v="Yes"/>
    <n v="70"/>
    <s v="No"/>
    <n v="73"/>
    <x v="0"/>
    <s v="Dr Verma"/>
    <n v="52000"/>
    <n v="5"/>
    <x v="0"/>
  </r>
  <r>
    <n v="1011"/>
    <d v="2025-01-11T00:00:00"/>
    <d v="2025-01-13T00:00:00"/>
    <x v="4"/>
    <x v="0"/>
    <s v="Yes"/>
    <n v="30"/>
    <s v="No"/>
    <n v="5"/>
    <x v="0"/>
    <s v="Dr Rao"/>
    <n v="12000"/>
    <n v="2"/>
    <x v="0"/>
  </r>
  <r>
    <n v="1012"/>
    <d v="2025-01-12T00:00:00"/>
    <d v="2025-01-12T00:00:00"/>
    <x v="7"/>
    <x v="2"/>
    <s v="No"/>
    <n v="22"/>
    <s v="Yes"/>
    <n v="31"/>
    <x v="1"/>
    <s v="Dr Kapoor"/>
    <n v="4500"/>
    <n v="0"/>
    <x v="0"/>
  </r>
  <r>
    <n v="1013"/>
    <d v="2025-01-13T00:00:00"/>
    <d v="2025-01-16T00:00:00"/>
    <x v="0"/>
    <x v="1"/>
    <s v="Yes"/>
    <n v="40"/>
    <s v="No"/>
    <n v="58"/>
    <x v="1"/>
    <s v="Dr Sharma"/>
    <n v="31000"/>
    <n v="3"/>
    <x v="0"/>
  </r>
  <r>
    <n v="1014"/>
    <d v="2025-01-14T00:00:00"/>
    <d v="2025-01-14T00:00:00"/>
    <x v="2"/>
    <x v="2"/>
    <s v="No"/>
    <n v="14"/>
    <s v="Yes"/>
    <n v="45"/>
    <x v="0"/>
    <s v="Dr Khan"/>
    <n v="3500"/>
    <n v="0"/>
    <x v="0"/>
  </r>
  <r>
    <n v="1015"/>
    <d v="2025-01-15T00:00:00"/>
    <d v="2025-01-19T00:00:00"/>
    <x v="1"/>
    <x v="0"/>
    <s v="Yes"/>
    <n v="65"/>
    <s v="No"/>
    <n v="52"/>
    <x v="1"/>
    <s v="Dr Mehta"/>
    <n v="39000"/>
    <n v="4"/>
    <x v="0"/>
  </r>
  <r>
    <n v="1016"/>
    <d v="2025-01-16T00:00:00"/>
    <d v="2025-01-17T00:00:00"/>
    <x v="5"/>
    <x v="2"/>
    <s v="No"/>
    <n v="9"/>
    <s v="Yes"/>
    <n v="27"/>
    <x v="0"/>
    <s v="Dr Singh"/>
    <n v="2000"/>
    <n v="1"/>
    <x v="0"/>
  </r>
  <r>
    <n v="1017"/>
    <d v="2025-01-17T00:00:00"/>
    <d v="2025-01-21T00:00:00"/>
    <x v="3"/>
    <x v="1"/>
    <s v="Yes"/>
    <n v="35"/>
    <s v="No"/>
    <n v="64"/>
    <x v="1"/>
    <s v="Dr Verma"/>
    <n v="42000"/>
    <n v="4"/>
    <x v="0"/>
  </r>
  <r>
    <n v="1018"/>
    <d v="2025-01-18T00:00:00"/>
    <d v="2025-01-18T00:00:00"/>
    <x v="6"/>
    <x v="2"/>
    <s v="No"/>
    <n v="16"/>
    <s v="Yes"/>
    <n v="39"/>
    <x v="0"/>
    <s v="Dr Bansal"/>
    <n v="2100"/>
    <n v="0"/>
    <x v="0"/>
  </r>
  <r>
    <n v="1019"/>
    <d v="2025-01-19T00:00:00"/>
    <d v="2025-01-23T00:00:00"/>
    <x v="7"/>
    <x v="0"/>
    <s v="Yes"/>
    <n v="50"/>
    <s v="No"/>
    <n v="36"/>
    <x v="1"/>
    <s v="Dr Kapoor"/>
    <n v="27000"/>
    <n v="4"/>
    <x v="0"/>
  </r>
  <r>
    <n v="1020"/>
    <d v="2025-01-20T00:00:00"/>
    <d v="2025-01-20T00:00:00"/>
    <x v="4"/>
    <x v="2"/>
    <s v="No"/>
    <n v="11"/>
    <s v="Yes"/>
    <n v="12"/>
    <x v="1"/>
    <s v="Dr Rao"/>
    <n v="2600"/>
    <n v="0"/>
    <x v="0"/>
  </r>
  <r>
    <n v="1021"/>
    <d v="2025-01-21T00:00:00"/>
    <d v="2025-01-24T00:00:00"/>
    <x v="0"/>
    <x v="0"/>
    <s v="Yes"/>
    <n v="48"/>
    <s v="No"/>
    <n v="54"/>
    <x v="0"/>
    <s v="Dr Sharma"/>
    <n v="29000"/>
    <n v="3"/>
    <x v="0"/>
  </r>
  <r>
    <n v="1022"/>
    <d v="2025-01-22T00:00:00"/>
    <d v="2025-01-23T00:00:00"/>
    <x v="1"/>
    <x v="1"/>
    <s v="Yes"/>
    <n v="19"/>
    <s v="No"/>
    <n v="47"/>
    <x v="1"/>
    <s v="Dr Mehta"/>
    <n v="17000"/>
    <n v="1"/>
    <x v="0"/>
  </r>
  <r>
    <n v="1023"/>
    <d v="2025-01-23T00:00:00"/>
    <d v="2025-01-23T00:00:00"/>
    <x v="2"/>
    <x v="2"/>
    <s v="No"/>
    <n v="13"/>
    <s v="Yes"/>
    <n v="33"/>
    <x v="0"/>
    <s v="Dr Khan"/>
    <n v="3200"/>
    <n v="0"/>
    <x v="0"/>
  </r>
  <r>
    <n v="1024"/>
    <d v="2025-01-24T00:00:00"/>
    <d v="2025-01-29T00:00:00"/>
    <x v="3"/>
    <x v="0"/>
    <s v="Yes"/>
    <n v="72"/>
    <s v="No"/>
    <n v="71"/>
    <x v="1"/>
    <s v="Dr Verma"/>
    <n v="54000"/>
    <n v="5"/>
    <x v="0"/>
  </r>
  <r>
    <n v="1025"/>
    <d v="2025-01-25T00:00:00"/>
    <d v="2025-01-25T00:00:00"/>
    <x v="5"/>
    <x v="2"/>
    <s v="No"/>
    <n v="8"/>
    <s v="Yes"/>
    <n v="26"/>
    <x v="1"/>
    <s v="Dr Singh"/>
    <n v="1900"/>
    <n v="0"/>
    <x v="0"/>
  </r>
  <r>
    <n v="1026"/>
    <d v="2025-01-26T00:00:00"/>
    <d v="2025-01-30T00:00:00"/>
    <x v="7"/>
    <x v="1"/>
    <s v="Yes"/>
    <n v="28"/>
    <s v="No"/>
    <n v="41"/>
    <x v="1"/>
    <s v="Dr Kapoor"/>
    <n v="23000"/>
    <n v="4"/>
    <x v="0"/>
  </r>
  <r>
    <n v="1027"/>
    <d v="2025-01-27T00:00:00"/>
    <d v="2025-01-27T00:00:00"/>
    <x v="6"/>
    <x v="2"/>
    <s v="No"/>
    <n v="17"/>
    <s v="Yes"/>
    <n v="37"/>
    <x v="0"/>
    <s v="Dr Bansal"/>
    <n v="2000"/>
    <n v="0"/>
    <x v="0"/>
  </r>
  <r>
    <n v="1028"/>
    <d v="2025-01-28T00:00:00"/>
    <d v="2025-02-01T00:00:00"/>
    <x v="4"/>
    <x v="0"/>
    <s v="Yes"/>
    <n v="33"/>
    <s v="No"/>
    <n v="9"/>
    <x v="0"/>
    <s v="Dr Rao"/>
    <n v="14500"/>
    <n v="4"/>
    <x v="0"/>
  </r>
  <r>
    <n v="1029"/>
    <d v="2025-01-29T00:00:00"/>
    <d v="2025-02-02T00:00:00"/>
    <x v="0"/>
    <x v="1"/>
    <s v="Yes"/>
    <n v="42"/>
    <s v="No"/>
    <n v="62"/>
    <x v="1"/>
    <s v="Dr Sharma"/>
    <n v="36000"/>
    <n v="4"/>
    <x v="0"/>
  </r>
  <r>
    <n v="1030"/>
    <d v="2025-01-30T00:00:00"/>
    <d v="2025-01-30T00:00:00"/>
    <x v="2"/>
    <x v="2"/>
    <s v="No"/>
    <n v="15"/>
    <s v="Yes"/>
    <n v="44"/>
    <x v="1"/>
    <s v="Dr Khan"/>
    <n v="3400"/>
    <n v="0"/>
    <x v="0"/>
  </r>
  <r>
    <n v="1031"/>
    <d v="2025-02-01T00:00:00"/>
    <d v="2025-02-04T00:00:00"/>
    <x v="1"/>
    <x v="0"/>
    <s v="Yes"/>
    <n v="58"/>
    <s v="No"/>
    <n v="53"/>
    <x v="0"/>
    <s v="Dr Mehta"/>
    <n v="41000"/>
    <n v="3"/>
    <x v="1"/>
  </r>
  <r>
    <n v="1032"/>
    <d v="2025-02-02T00:00:00"/>
    <d v="2025-02-02T00:00:00"/>
    <x v="5"/>
    <x v="2"/>
    <s v="No"/>
    <n v="10"/>
    <s v="Yes"/>
    <n v="24"/>
    <x v="1"/>
    <s v="Dr Singh"/>
    <n v="2100"/>
    <n v="0"/>
    <x v="1"/>
  </r>
  <r>
    <n v="1033"/>
    <d v="2025-02-03T00:00:00"/>
    <d v="2025-02-07T00:00:00"/>
    <x v="3"/>
    <x v="1"/>
    <s v="Yes"/>
    <n v="36"/>
    <s v="No"/>
    <n v="66"/>
    <x v="0"/>
    <s v="Dr Verma"/>
    <n v="43000"/>
    <n v="4"/>
    <x v="1"/>
  </r>
  <r>
    <n v="1034"/>
    <d v="2025-02-04T00:00:00"/>
    <d v="2025-02-04T00:00:00"/>
    <x v="6"/>
    <x v="2"/>
    <s v="No"/>
    <n v="14"/>
    <s v="Yes"/>
    <n v="35"/>
    <x v="1"/>
    <s v="Dr Bansal"/>
    <n v="2200"/>
    <n v="0"/>
    <x v="1"/>
  </r>
  <r>
    <n v="1035"/>
    <d v="2025-02-05T00:00:00"/>
    <d v="2025-02-08T00:00:00"/>
    <x v="7"/>
    <x v="0"/>
    <s v="Yes"/>
    <n v="47"/>
    <s v="No"/>
    <n v="38"/>
    <x v="1"/>
    <s v="Dr Kapoor"/>
    <n v="26500"/>
    <n v="3"/>
    <x v="1"/>
  </r>
  <r>
    <n v="1036"/>
    <d v="2025-02-06T00:00:00"/>
    <d v="2025-02-06T00:00:00"/>
    <x v="4"/>
    <x v="2"/>
    <s v="No"/>
    <n v="12"/>
    <s v="Yes"/>
    <n v="11"/>
    <x v="0"/>
    <s v="Dr Rao"/>
    <n v="2500"/>
    <n v="0"/>
    <x v="1"/>
  </r>
  <r>
    <n v="1037"/>
    <d v="2025-02-07T00:00:00"/>
    <d v="2025-02-10T00:00:00"/>
    <x v="0"/>
    <x v="0"/>
    <s v="Yes"/>
    <n v="51"/>
    <s v="No"/>
    <n v="57"/>
    <x v="0"/>
    <s v="Dr Sharma"/>
    <n v="30500"/>
    <n v="3"/>
    <x v="1"/>
  </r>
  <r>
    <n v="1038"/>
    <d v="2025-02-08T00:00:00"/>
    <d v="2025-02-09T00:00:00"/>
    <x v="1"/>
    <x v="1"/>
    <s v="Yes"/>
    <n v="21"/>
    <s v="No"/>
    <n v="46"/>
    <x v="1"/>
    <s v="Dr Mehta"/>
    <n v="17500"/>
    <n v="1"/>
    <x v="1"/>
  </r>
  <r>
    <n v="1039"/>
    <d v="2025-02-09T00:00:00"/>
    <d v="2025-02-09T00:00:00"/>
    <x v="2"/>
    <x v="2"/>
    <s v="No"/>
    <n v="16"/>
    <s v="Yes"/>
    <n v="32"/>
    <x v="0"/>
    <s v="Dr Khan"/>
    <n v="3100"/>
    <n v="0"/>
    <x v="1"/>
  </r>
  <r>
    <n v="1040"/>
    <d v="2025-02-10T00:00:00"/>
    <d v="2025-02-14T00:00:00"/>
    <x v="3"/>
    <x v="0"/>
    <s v="Yes"/>
    <n v="68"/>
    <s v="No"/>
    <n v="74"/>
    <x v="1"/>
    <s v="Dr Verma"/>
    <n v="56000"/>
    <n v="4"/>
    <x v="1"/>
  </r>
  <r>
    <n v="1041"/>
    <d v="2025-02-11T00:00:00"/>
    <d v="2025-02-11T00:00:00"/>
    <x v="5"/>
    <x v="2"/>
    <s v="No"/>
    <n v="9"/>
    <s v="Yes"/>
    <n v="28"/>
    <x v="1"/>
    <s v="Dr Singh"/>
    <n v="1950"/>
    <n v="0"/>
    <x v="1"/>
  </r>
  <r>
    <n v="1042"/>
    <d v="2025-02-12T00:00:00"/>
    <d v="2025-02-16T00:00:00"/>
    <x v="7"/>
    <x v="1"/>
    <s v="Yes"/>
    <n v="29"/>
    <s v="No"/>
    <n v="43"/>
    <x v="1"/>
    <s v="Dr Kapoor"/>
    <n v="24000"/>
    <n v="4"/>
    <x v="1"/>
  </r>
  <r>
    <n v="1043"/>
    <d v="2025-02-13T00:00:00"/>
    <d v="2025-02-13T00:00:00"/>
    <x v="6"/>
    <x v="2"/>
    <s v="No"/>
    <n v="18"/>
    <s v="Yes"/>
    <n v="36"/>
    <x v="0"/>
    <s v="Dr Bansal"/>
    <n v="2050"/>
    <n v="0"/>
    <x v="1"/>
  </r>
  <r>
    <n v="1044"/>
    <d v="2025-02-14T00:00:00"/>
    <d v="2025-02-18T00:00:00"/>
    <x v="4"/>
    <x v="0"/>
    <s v="Yes"/>
    <n v="31"/>
    <s v="No"/>
    <n v="7"/>
    <x v="1"/>
    <s v="Dr Rao"/>
    <n v="13000"/>
    <n v="4"/>
    <x v="1"/>
  </r>
  <r>
    <n v="1045"/>
    <d v="2025-02-15T00:00:00"/>
    <d v="2025-02-19T00:00:00"/>
    <x v="0"/>
    <x v="1"/>
    <s v="Yes"/>
    <n v="43"/>
    <s v="No"/>
    <n v="63"/>
    <x v="0"/>
    <s v="Dr Sharma"/>
    <n v="37000"/>
    <n v="4"/>
    <x v="1"/>
  </r>
  <r>
    <n v="1046"/>
    <d v="2025-02-16T00:00:00"/>
    <d v="2025-02-16T00:00:00"/>
    <x v="2"/>
    <x v="2"/>
    <s v="No"/>
    <n v="13"/>
    <s v="Yes"/>
    <n v="41"/>
    <x v="1"/>
    <s v="Dr Khan"/>
    <n v="3300"/>
    <n v="0"/>
    <x v="1"/>
  </r>
  <r>
    <n v="1047"/>
    <d v="2025-02-17T00:00:00"/>
    <d v="2025-02-21T00:00:00"/>
    <x v="1"/>
    <x v="0"/>
    <s v="Yes"/>
    <n v="59"/>
    <s v="No"/>
    <n v="55"/>
    <x v="0"/>
    <s v="Dr Mehta"/>
    <n v="42000"/>
    <n v="4"/>
    <x v="1"/>
  </r>
  <r>
    <n v="1048"/>
    <d v="2025-02-18T00:00:00"/>
    <d v="2025-02-18T00:00:00"/>
    <x v="5"/>
    <x v="2"/>
    <s v="No"/>
    <n v="11"/>
    <s v="Yes"/>
    <n v="25"/>
    <x v="0"/>
    <s v="Dr Singh"/>
    <n v="2150"/>
    <n v="0"/>
    <x v="1"/>
  </r>
  <r>
    <n v="1049"/>
    <d v="2025-02-19T00:00:00"/>
    <d v="2025-02-23T00:00:00"/>
    <x v="3"/>
    <x v="1"/>
    <s v="Yes"/>
    <n v="37"/>
    <s v="No"/>
    <n v="68"/>
    <x v="1"/>
    <s v="Dr Verma"/>
    <n v="44500"/>
    <n v="4"/>
    <x v="1"/>
  </r>
  <r>
    <n v="1050"/>
    <d v="2025-02-20T00:00:00"/>
    <d v="2025-02-20T00:00:00"/>
    <x v="6"/>
    <x v="2"/>
    <s v="No"/>
    <n v="15"/>
    <s v="Yes"/>
    <n v="34"/>
    <x v="1"/>
    <s v="Dr Bansal"/>
    <n v="2250"/>
    <n v="0"/>
    <x v="1"/>
  </r>
  <r>
    <n v="1051"/>
    <d v="2025-02-21T00:00:00"/>
    <d v="2025-02-24T00:00:00"/>
    <x v="7"/>
    <x v="0"/>
    <s v="Yes"/>
    <n v="49"/>
    <s v="No"/>
    <n v="39"/>
    <x v="1"/>
    <s v="Dr Kapoor"/>
    <n v="27500"/>
    <n v="3"/>
    <x v="1"/>
  </r>
  <r>
    <n v="1052"/>
    <d v="2025-02-22T00:00:00"/>
    <d v="2025-02-22T00:00:00"/>
    <x v="4"/>
    <x v="2"/>
    <s v="No"/>
    <n v="10"/>
    <s v="Yes"/>
    <n v="10"/>
    <x v="0"/>
    <s v="Dr Rao"/>
    <n v="2550"/>
    <n v="0"/>
    <x v="1"/>
  </r>
  <r>
    <n v="1053"/>
    <d v="2025-02-23T00:00:00"/>
    <d v="2025-02-27T00:00:00"/>
    <x v="0"/>
    <x v="0"/>
    <s v="Yes"/>
    <n v="52"/>
    <s v="No"/>
    <n v="59"/>
    <x v="1"/>
    <s v="Dr Sharma"/>
    <n v="31500"/>
    <n v="4"/>
    <x v="1"/>
  </r>
  <r>
    <n v="1054"/>
    <d v="2025-02-24T00:00:00"/>
    <d v="2025-02-25T00:00:00"/>
    <x v="1"/>
    <x v="1"/>
    <s v="Yes"/>
    <n v="22"/>
    <s v="No"/>
    <n v="48"/>
    <x v="0"/>
    <s v="Dr Mehta"/>
    <n v="17800"/>
    <n v="1"/>
    <x v="1"/>
  </r>
  <r>
    <n v="1055"/>
    <d v="2025-02-25T00:00:00"/>
    <d v="2025-02-25T00:00:00"/>
    <x v="2"/>
    <x v="2"/>
    <s v="No"/>
    <n v="14"/>
    <s v="Yes"/>
    <n v="30"/>
    <x v="1"/>
    <s v="Dr Khan"/>
    <n v="3050"/>
    <n v="0"/>
    <x v="1"/>
  </r>
  <r>
    <n v="1056"/>
    <d v="2025-02-26T00:00:00"/>
    <d v="2025-03-02T00:00:00"/>
    <x v="3"/>
    <x v="0"/>
    <s v="Yes"/>
    <n v="69"/>
    <s v="No"/>
    <n v="72"/>
    <x v="0"/>
    <s v="Dr Verma"/>
    <n v="57000"/>
    <n v="4"/>
    <x v="1"/>
  </r>
  <r>
    <n v="1057"/>
    <d v="2025-02-27T00:00:00"/>
    <d v="2025-02-27T00:00:00"/>
    <x v="5"/>
    <x v="2"/>
    <s v="No"/>
    <n v="8"/>
    <s v="Yes"/>
    <n v="29"/>
    <x v="1"/>
    <s v="Dr Singh"/>
    <n v="1980"/>
    <n v="0"/>
    <x v="1"/>
  </r>
  <r>
    <n v="1058"/>
    <d v="2025-02-28T00:00:00"/>
    <d v="2025-03-03T00:00:00"/>
    <x v="7"/>
    <x v="1"/>
    <s v="Yes"/>
    <n v="27"/>
    <s v="No"/>
    <n v="42"/>
    <x v="1"/>
    <s v="Dr Kapoor"/>
    <n v="23500"/>
    <n v="3"/>
    <x v="1"/>
  </r>
  <r>
    <n v="1059"/>
    <d v="2025-03-01T00:00:00"/>
    <d v="2025-03-01T00:00:00"/>
    <x v="6"/>
    <x v="2"/>
    <s v="No"/>
    <n v="17"/>
    <s v="Yes"/>
    <n v="38"/>
    <x v="0"/>
    <s v="Dr Bansal"/>
    <n v="2100"/>
    <n v="0"/>
    <x v="2"/>
  </r>
  <r>
    <n v="1060"/>
    <d v="2025-03-02T00:00:00"/>
    <d v="2025-03-06T00:00:00"/>
    <x v="4"/>
    <x v="0"/>
    <s v="Yes"/>
    <n v="32"/>
    <s v="No"/>
    <n v="6"/>
    <x v="1"/>
    <s v="Dr Rao"/>
    <n v="13500"/>
    <n v="4"/>
    <x v="2"/>
  </r>
  <r>
    <n v="1061"/>
    <d v="2025-03-03T00:00:00"/>
    <d v="2025-03-07T00:00:00"/>
    <x v="0"/>
    <x v="1"/>
    <s v="Yes"/>
    <n v="44"/>
    <s v="No"/>
    <n v="64"/>
    <x v="0"/>
    <s v="Dr Sharma"/>
    <n v="38000"/>
    <n v="4"/>
    <x v="2"/>
  </r>
  <r>
    <n v="1062"/>
    <d v="2025-03-04T00:00:00"/>
    <d v="2025-03-04T00:00:00"/>
    <x v="2"/>
    <x v="2"/>
    <s v="No"/>
    <n v="12"/>
    <s v="Yes"/>
    <n v="43"/>
    <x v="1"/>
    <s v="Dr Khan"/>
    <n v="3250"/>
    <n v="0"/>
    <x v="2"/>
  </r>
  <r>
    <n v="1063"/>
    <d v="2025-03-05T00:00:00"/>
    <d v="2025-03-09T00:00:00"/>
    <x v="1"/>
    <x v="0"/>
    <s v="Yes"/>
    <n v="61"/>
    <s v="No"/>
    <n v="56"/>
    <x v="0"/>
    <s v="Dr Mehta"/>
    <n v="43000"/>
    <n v="4"/>
    <x v="2"/>
  </r>
  <r>
    <n v="1064"/>
    <d v="2025-03-06T00:00:00"/>
    <d v="2025-03-06T00:00:00"/>
    <x v="5"/>
    <x v="2"/>
    <s v="No"/>
    <n v="9"/>
    <s v="Yes"/>
    <n v="27"/>
    <x v="1"/>
    <s v="Dr Singh"/>
    <n v="2200"/>
    <n v="0"/>
    <x v="2"/>
  </r>
  <r>
    <n v="1065"/>
    <d v="2025-03-07T00:00:00"/>
    <d v="2025-03-11T00:00:00"/>
    <x v="3"/>
    <x v="1"/>
    <s v="Yes"/>
    <n v="38"/>
    <s v="No"/>
    <n v="69"/>
    <x v="1"/>
    <s v="Dr Verma"/>
    <n v="45500"/>
    <n v="4"/>
    <x v="2"/>
  </r>
  <r>
    <n v="1066"/>
    <d v="2025-03-08T00:00:00"/>
    <d v="2025-03-08T00:00:00"/>
    <x v="6"/>
    <x v="2"/>
    <s v="No"/>
    <n v="16"/>
    <s v="Yes"/>
    <n v="33"/>
    <x v="0"/>
    <s v="Dr Bansal"/>
    <n v="2150"/>
    <n v="0"/>
    <x v="2"/>
  </r>
  <r>
    <n v="1067"/>
    <d v="2025-03-09T00:00:00"/>
    <d v="2025-03-13T00:00:00"/>
    <x v="7"/>
    <x v="0"/>
    <s v="Yes"/>
    <n v="46"/>
    <s v="No"/>
    <n v="37"/>
    <x v="1"/>
    <s v="Dr Kapoor"/>
    <n v="26800"/>
    <n v="4"/>
    <x v="2"/>
  </r>
  <r>
    <n v="1068"/>
    <d v="2025-03-10T00:00:00"/>
    <d v="2025-03-10T00:00:00"/>
    <x v="4"/>
    <x v="2"/>
    <s v="No"/>
    <n v="11"/>
    <s v="Yes"/>
    <n v="13"/>
    <x v="0"/>
    <s v="Dr Rao"/>
    <n v="2600"/>
    <n v="0"/>
    <x v="2"/>
  </r>
  <r>
    <n v="1069"/>
    <d v="2025-03-11T00:00:00"/>
    <d v="2025-03-15T00:00:00"/>
    <x v="0"/>
    <x v="0"/>
    <s v="Yes"/>
    <n v="53"/>
    <s v="No"/>
    <n v="60"/>
    <x v="1"/>
    <s v="Dr Sharma"/>
    <n v="32000"/>
    <n v="4"/>
    <x v="2"/>
  </r>
  <r>
    <n v="1070"/>
    <d v="2025-03-12T00:00:00"/>
    <d v="2025-03-13T00:00:00"/>
    <x v="1"/>
    <x v="1"/>
    <s v="Yes"/>
    <n v="20"/>
    <s v="No"/>
    <n v="45"/>
    <x v="0"/>
    <s v="Dr Mehta"/>
    <n v="18200"/>
    <n v="1"/>
    <x v="2"/>
  </r>
  <r>
    <n v="1071"/>
    <d v="2025-03-13T00:00:00"/>
    <d v="2025-03-13T00:00:00"/>
    <x v="2"/>
    <x v="2"/>
    <s v="No"/>
    <n v="13"/>
    <s v="Yes"/>
    <n v="31"/>
    <x v="1"/>
    <s v="Dr Khan"/>
    <n v="3150"/>
    <n v="0"/>
    <x v="2"/>
  </r>
  <r>
    <n v="1072"/>
    <d v="2025-03-14T00:00:00"/>
    <d v="2025-03-18T00:00:00"/>
    <x v="3"/>
    <x v="0"/>
    <s v="Yes"/>
    <n v="67"/>
    <s v="No"/>
    <n v="75"/>
    <x v="0"/>
    <s v="Dr Verma"/>
    <n v="58000"/>
    <n v="4"/>
    <x v="2"/>
  </r>
  <r>
    <n v="1073"/>
    <d v="2025-03-15T00:00:00"/>
    <d v="2025-03-15T00:00:00"/>
    <x v="5"/>
    <x v="2"/>
    <s v="No"/>
    <n v="10"/>
    <s v="Yes"/>
    <n v="26"/>
    <x v="1"/>
    <s v="Dr Singh"/>
    <n v="2050"/>
    <n v="0"/>
    <x v="2"/>
  </r>
  <r>
    <n v="1074"/>
    <d v="2025-03-16T00:00:00"/>
    <d v="2025-03-20T00:00:00"/>
    <x v="7"/>
    <x v="1"/>
    <s v="Yes"/>
    <n v="28"/>
    <s v="No"/>
    <n v="44"/>
    <x v="1"/>
    <s v="Dr Kapoor"/>
    <n v="24500"/>
    <n v="4"/>
    <x v="2"/>
  </r>
  <r>
    <n v="1075"/>
    <d v="2025-03-17T00:00:00"/>
    <d v="2025-03-17T00:00:00"/>
    <x v="6"/>
    <x v="2"/>
    <s v="No"/>
    <n v="18"/>
    <s v="Yes"/>
    <n v="35"/>
    <x v="0"/>
    <s v="Dr Bansal"/>
    <n v="2200"/>
    <n v="0"/>
    <x v="2"/>
  </r>
  <r>
    <n v="1076"/>
    <d v="2025-03-18T00:00:00"/>
    <d v="2025-03-22T00:00:00"/>
    <x v="4"/>
    <x v="0"/>
    <s v="Yes"/>
    <n v="34"/>
    <s v="No"/>
    <n v="8"/>
    <x v="1"/>
    <s v="Dr Rao"/>
    <n v="14000"/>
    <n v="4"/>
    <x v="2"/>
  </r>
  <r>
    <n v="1077"/>
    <d v="2025-03-19T00:00:00"/>
    <d v="2025-03-23T00:00:00"/>
    <x v="0"/>
    <x v="1"/>
    <s v="Yes"/>
    <n v="41"/>
    <s v="No"/>
    <n v="65"/>
    <x v="0"/>
    <s v="Dr Sharma"/>
    <n v="38500"/>
    <n v="4"/>
    <x v="2"/>
  </r>
  <r>
    <n v="1078"/>
    <d v="2025-03-20T00:00:00"/>
    <d v="2025-03-20T00:00:00"/>
    <x v="2"/>
    <x v="2"/>
    <s v="No"/>
    <n v="14"/>
    <s v="Yes"/>
    <n v="40"/>
    <x v="1"/>
    <s v="Dr Khan"/>
    <n v="3350"/>
    <n v="0"/>
    <x v="2"/>
  </r>
  <r>
    <n v="1079"/>
    <d v="2025-03-21T00:00:00"/>
    <d v="2025-03-25T00:00:00"/>
    <x v="1"/>
    <x v="0"/>
    <s v="Yes"/>
    <n v="62"/>
    <s v="No"/>
    <n v="57"/>
    <x v="0"/>
    <s v="Dr Mehta"/>
    <n v="44000"/>
    <n v="4"/>
    <x v="2"/>
  </r>
  <r>
    <n v="1080"/>
    <d v="2025-03-22T00:00:00"/>
    <d v="2025-03-22T00:00:00"/>
    <x v="5"/>
    <x v="2"/>
    <s v="No"/>
    <n v="9"/>
    <s v="Yes"/>
    <n v="24"/>
    <x v="1"/>
    <s v="Dr Singh"/>
    <n v="2100"/>
    <n v="0"/>
    <x v="2"/>
  </r>
  <r>
    <n v="1081"/>
    <d v="2025-03-23T00:00:00"/>
    <d v="2025-03-27T00:00:00"/>
    <x v="3"/>
    <x v="1"/>
    <s v="Yes"/>
    <n v="39"/>
    <s v="No"/>
    <n v="70"/>
    <x v="1"/>
    <s v="Dr Verma"/>
    <n v="46000"/>
    <n v="4"/>
    <x v="2"/>
  </r>
  <r>
    <n v="1082"/>
    <d v="2025-03-24T00:00:00"/>
    <d v="2025-03-24T00:00:00"/>
    <x v="6"/>
    <x v="2"/>
    <s v="No"/>
    <n v="15"/>
    <s v="Yes"/>
    <n v="32"/>
    <x v="0"/>
    <s v="Dr Bansal"/>
    <n v="2250"/>
    <n v="0"/>
    <x v="2"/>
  </r>
  <r>
    <n v="1083"/>
    <d v="2025-03-25T00:00:00"/>
    <d v="2025-03-29T00:00:00"/>
    <x v="7"/>
    <x v="0"/>
    <s v="Yes"/>
    <n v="48"/>
    <s v="No"/>
    <n v="36"/>
    <x v="1"/>
    <s v="Dr Kapoor"/>
    <n v="27200"/>
    <n v="4"/>
    <x v="2"/>
  </r>
  <r>
    <n v="1084"/>
    <d v="2025-03-26T00:00:00"/>
    <d v="2025-03-26T00:00:00"/>
    <x v="4"/>
    <x v="2"/>
    <s v="No"/>
    <n v="12"/>
    <s v="Yes"/>
    <n v="9"/>
    <x v="0"/>
    <s v="Dr Rao"/>
    <n v="2650"/>
    <n v="0"/>
    <x v="2"/>
  </r>
  <r>
    <n v="1085"/>
    <d v="2025-03-27T00:00:00"/>
    <d v="2025-03-31T00:00:00"/>
    <x v="0"/>
    <x v="0"/>
    <s v="Yes"/>
    <n v="54"/>
    <s v="No"/>
    <n v="58"/>
    <x v="1"/>
    <s v="Dr Sharma"/>
    <n v="32500"/>
    <n v="4"/>
    <x v="2"/>
  </r>
  <r>
    <n v="1086"/>
    <d v="2025-03-28T00:00:00"/>
    <d v="2025-03-29T00:00:00"/>
    <x v="1"/>
    <x v="1"/>
    <s v="Yes"/>
    <n v="21"/>
    <s v="No"/>
    <n v="46"/>
    <x v="0"/>
    <s v="Dr Mehta"/>
    <n v="18500"/>
    <n v="1"/>
    <x v="2"/>
  </r>
  <r>
    <n v="1087"/>
    <d v="2025-03-29T00:00:00"/>
    <d v="2025-03-29T00:00:00"/>
    <x v="2"/>
    <x v="2"/>
    <s v="No"/>
    <n v="13"/>
    <s v="Yes"/>
    <n v="34"/>
    <x v="1"/>
    <s v="Dr Khan"/>
    <n v="3200"/>
    <n v="0"/>
    <x v="2"/>
  </r>
  <r>
    <n v="1088"/>
    <d v="2025-03-30T00:00:00"/>
    <d v="2025-04-03T00:00:00"/>
    <x v="3"/>
    <x v="0"/>
    <s v="Yes"/>
    <n v="66"/>
    <s v="No"/>
    <n v="73"/>
    <x v="0"/>
    <s v="Dr Verma"/>
    <n v="59000"/>
    <n v="4"/>
    <x v="2"/>
  </r>
  <r>
    <n v="1089"/>
    <d v="2025-03-31T00:00:00"/>
    <d v="2025-03-31T00:00:00"/>
    <x v="5"/>
    <x v="2"/>
    <s v="No"/>
    <n v="8"/>
    <s v="Yes"/>
    <n v="28"/>
    <x v="1"/>
    <s v="Dr Singh"/>
    <n v="2150"/>
    <n v="0"/>
    <x v="2"/>
  </r>
  <r>
    <n v="1090"/>
    <d v="2025-04-01T00:00:00"/>
    <d v="2025-04-05T00:00:00"/>
    <x v="7"/>
    <x v="1"/>
    <s v="Yes"/>
    <n v="27"/>
    <s v="No"/>
    <n v="41"/>
    <x v="1"/>
    <s v="Dr Kapoor"/>
    <n v="23800"/>
    <n v="4"/>
    <x v="3"/>
  </r>
  <r>
    <n v="1091"/>
    <d v="2025-04-02T00:00:00"/>
    <d v="2025-04-02T00:00:00"/>
    <x v="6"/>
    <x v="2"/>
    <s v="No"/>
    <n v="17"/>
    <s v="Yes"/>
    <n v="37"/>
    <x v="0"/>
    <s v="Dr Bansal"/>
    <n v="2180"/>
    <n v="0"/>
    <x v="3"/>
  </r>
  <r>
    <n v="1092"/>
    <d v="2025-04-03T00:00:00"/>
    <d v="2025-04-07T00:00:00"/>
    <x v="4"/>
    <x v="0"/>
    <s v="Yes"/>
    <n v="33"/>
    <s v="No"/>
    <n v="7"/>
    <x v="1"/>
    <s v="Dr Rao"/>
    <n v="14200"/>
    <n v="4"/>
    <x v="3"/>
  </r>
  <r>
    <n v="1093"/>
    <d v="2025-04-04T00:00:00"/>
    <d v="2025-04-08T00:00:00"/>
    <x v="0"/>
    <x v="1"/>
    <s v="Yes"/>
    <n v="42"/>
    <s v="No"/>
    <n v="62"/>
    <x v="0"/>
    <s v="Dr Sharma"/>
    <n v="39000"/>
    <n v="4"/>
    <x v="3"/>
  </r>
  <r>
    <n v="1094"/>
    <d v="2025-04-05T00:00:00"/>
    <d v="2025-04-05T00:00:00"/>
    <x v="2"/>
    <x v="2"/>
    <s v="No"/>
    <n v="14"/>
    <s v="Yes"/>
    <n v="42"/>
    <x v="1"/>
    <s v="Dr Khan"/>
    <n v="3300"/>
    <n v="0"/>
    <x v="3"/>
  </r>
  <r>
    <n v="1095"/>
    <d v="2025-04-06T00:00:00"/>
    <d v="2025-04-10T00:00:00"/>
    <x v="1"/>
    <x v="0"/>
    <s v="Yes"/>
    <n v="63"/>
    <s v="No"/>
    <n v="54"/>
    <x v="0"/>
    <s v="Dr Mehta"/>
    <n v="44500"/>
    <n v="4"/>
    <x v="3"/>
  </r>
  <r>
    <n v="1096"/>
    <d v="2025-04-07T00:00:00"/>
    <d v="2025-04-07T00:00:00"/>
    <x v="5"/>
    <x v="2"/>
    <s v="No"/>
    <n v="10"/>
    <s v="Yes"/>
    <n v="25"/>
    <x v="1"/>
    <s v="Dr Singh"/>
    <n v="2200"/>
    <n v="0"/>
    <x v="3"/>
  </r>
  <r>
    <n v="1097"/>
    <d v="2025-04-08T00:00:00"/>
    <d v="2025-04-12T00:00:00"/>
    <x v="3"/>
    <x v="1"/>
    <s v="Yes"/>
    <n v="38"/>
    <s v="No"/>
    <n v="67"/>
    <x v="1"/>
    <s v="Dr Verma"/>
    <n v="47000"/>
    <n v="4"/>
    <x v="3"/>
  </r>
  <r>
    <n v="1098"/>
    <d v="2025-04-09T00:00:00"/>
    <d v="2025-04-09T00:00:00"/>
    <x v="6"/>
    <x v="2"/>
    <s v="No"/>
    <n v="16"/>
    <s v="Yes"/>
    <n v="36"/>
    <x v="0"/>
    <s v="Dr Bansal"/>
    <n v="2230"/>
    <n v="0"/>
    <x v="3"/>
  </r>
  <r>
    <n v="1099"/>
    <d v="2025-04-10T00:00:00"/>
    <d v="2025-04-14T00:00:00"/>
    <x v="7"/>
    <x v="0"/>
    <s v="Yes"/>
    <n v="47"/>
    <s v="No"/>
    <n v="38"/>
    <x v="1"/>
    <s v="Dr Kapoor"/>
    <n v="27800"/>
    <n v="4"/>
    <x v="3"/>
  </r>
  <r>
    <n v="1100"/>
    <d v="2025-04-11T00:00:00"/>
    <d v="2025-04-11T00:00:00"/>
    <x v="4"/>
    <x v="2"/>
    <s v="No"/>
    <n v="11"/>
    <s v="Yes"/>
    <n v="10"/>
    <x v="0"/>
    <s v="Dr Rao"/>
    <n v="2700"/>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AD22E0-FF1F-4EC5-864B-A13F3AF4812F}"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s>
  <rowFields count="1">
    <field x="13"/>
  </rowFields>
  <rowItems count="5">
    <i>
      <x/>
    </i>
    <i>
      <x v="1"/>
    </i>
    <i>
      <x v="2"/>
    </i>
    <i>
      <x v="3"/>
    </i>
    <i t="grand">
      <x/>
    </i>
  </rowItems>
  <colItems count="1">
    <i/>
  </colItems>
  <dataFields count="1">
    <dataField name="Count of Patient_ID" fld="0" subtotal="count" baseField="1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F9494B-8CCB-45D4-AFBA-E061473D589A}"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4">
    <pivotField dataField="1" showAll="0"/>
    <pivotField numFmtId="14" showAll="0"/>
    <pivotField numFmtId="14"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Patient_ID" fld="0" subtotal="count" baseField="4"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298B50-0524-462C-84DE-EE1252FA3FF2}"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14">
    <pivotField dataField="1" showAll="0"/>
    <pivotField numFmtId="14" showAll="0"/>
    <pivotField numFmtId="14" showAll="0"/>
    <pivotField axis="axisRow" showAll="0">
      <items count="9">
        <item x="0"/>
        <item x="5"/>
        <item x="6"/>
        <item x="2"/>
        <item x="7"/>
        <item x="3"/>
        <item x="1"/>
        <item x="4"/>
        <item t="default"/>
      </items>
    </pivotField>
    <pivotField showAll="0">
      <items count="4">
        <item x="0"/>
        <item x="2"/>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Count of Patient_ID" fld="0" subtotal="count"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04EE2C1-0440-4070-A397-7EFB89AC809C}" sourceName="Department">
  <pivotTables>
    <pivotTable tabId="3" name="PivotTable1"/>
  </pivotTables>
  <data>
    <tabular pivotCacheId="776367447">
      <items count="8">
        <i x="0" s="1"/>
        <i x="5" s="1"/>
        <i x="6" s="1"/>
        <i x="2" s="1"/>
        <i x="7"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E8DEDFA3-FE09-4B9F-8A32-5EA021B1A2AB}" sourceName="Admission_Type">
  <pivotTables>
    <pivotTable tabId="3" name="PivotTable1"/>
  </pivotTables>
  <data>
    <tabular pivotCacheId="77636744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1150D95-F3FB-4F84-A2DA-8B256C1F3D05}" sourceName="Gender">
  <pivotTables>
    <pivotTable tabId="3" name="PivotTable1"/>
  </pivotTables>
  <data>
    <tabular pivotCacheId="77636744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C83DB94-56A8-4580-A59D-DAF17EAED9F8}" cache="Slicer_Department" caption="Department" rowHeight="241300"/>
  <slicer name="Admission_Type" xr10:uid="{280010B9-A19C-4426-B453-104C0AE96B57}" cache="Slicer_Admission_Type" caption="Admission_Type" rowHeight="241300"/>
  <slicer name="Gender" xr10:uid="{C1D6BD9F-5438-45EA-BED9-C6C1E0C926C2}"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4F8D3C-C96E-4B2D-A3CB-49B431F9B692}" name="hospital_data" displayName="hospital_data" ref="A1:N101" totalsRowShown="0">
  <autoFilter ref="A1:N101" xr:uid="{9C4F8D3C-C96E-4B2D-A3CB-49B431F9B692}"/>
  <tableColumns count="14">
    <tableColumn id="1" xr3:uid="{5916E6C6-0E5E-47BC-817B-7AF3624F60E3}" name="Patient_ID"/>
    <tableColumn id="2" xr3:uid="{453D8B94-DEDF-497A-B451-80B881965BBA}" name="Admission_Date" dataDxfId="1"/>
    <tableColumn id="3" xr3:uid="{E5815B94-6784-4CDD-B5E8-262EF19BCCA9}" name="Discharge_Date" dataDxfId="0"/>
    <tableColumn id="4" xr3:uid="{EE90614D-93AF-4D9F-99EB-C9BDD0BF8EF3}" name="Department"/>
    <tableColumn id="5" xr3:uid="{DD5AA827-A716-4668-A908-82FFA1692C12}" name="Admission_Type"/>
    <tableColumn id="6" xr3:uid="{98052C31-AB01-4BE8-A3BE-D7177291C873}" name="Bed_Occupied"/>
    <tableColumn id="7" xr3:uid="{06FF96FF-B5D6-45D3-82A2-6FEF2E2ACB71}" name="Wait_Time_Minutes"/>
    <tableColumn id="8" xr3:uid="{207A1263-B3CA-46FE-882C-860CBF43B0A5}" name="Outpatient"/>
    <tableColumn id="9" xr3:uid="{E82C4044-069E-435E-BDCA-7C6726F74956}" name="Age"/>
    <tableColumn id="10" xr3:uid="{A42B9021-A506-46F8-BFD6-E56D9417D045}" name="Gender"/>
    <tableColumn id="11" xr3:uid="{BEAFAB4F-CB68-4660-864B-A85EC5CDF7B6}" name="Doctor"/>
    <tableColumn id="12" xr3:uid="{9A24B9A0-DEFB-4FFA-839A-349E22EE3D6B}" name="Bill_Amount"/>
    <tableColumn id="13" xr3:uid="{D1CCBC71-D3D5-45F8-9046-377846DD439D}" name="Length_of_Stay">
      <calculatedColumnFormula>#REF!-#REF!</calculatedColumnFormula>
    </tableColumn>
    <tableColumn id="14" xr3:uid="{2A445C3B-FFA9-441F-BBC5-43EAE0FCFCC3}" name="Month">
      <calculatedColumnFormula>TEXT(#REF!,"MMM")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05FE3-725B-447A-993A-F120B4802087}">
  <dimension ref="A3:B8"/>
  <sheetViews>
    <sheetView zoomScale="145" zoomScaleNormal="145" workbookViewId="0">
      <selection activeCell="L10" sqref="L10"/>
    </sheetView>
  </sheetViews>
  <sheetFormatPr defaultRowHeight="15" x14ac:dyDescent="0.25"/>
  <cols>
    <col min="1" max="1" width="13.140625" bestFit="1" customWidth="1"/>
    <col min="2" max="2" width="18.5703125" bestFit="1" customWidth="1"/>
  </cols>
  <sheetData>
    <row r="3" spans="1:2" x14ac:dyDescent="0.25">
      <c r="A3" s="6" t="s">
        <v>42</v>
      </c>
      <c r="B3" t="s">
        <v>44</v>
      </c>
    </row>
    <row r="4" spans="1:2" x14ac:dyDescent="0.25">
      <c r="A4" s="7" t="s">
        <v>45</v>
      </c>
      <c r="B4" s="8">
        <v>30</v>
      </c>
    </row>
    <row r="5" spans="1:2" x14ac:dyDescent="0.25">
      <c r="A5" s="7" t="s">
        <v>46</v>
      </c>
      <c r="B5" s="8">
        <v>28</v>
      </c>
    </row>
    <row r="6" spans="1:2" x14ac:dyDescent="0.25">
      <c r="A6" s="7" t="s">
        <v>47</v>
      </c>
      <c r="B6" s="8">
        <v>31</v>
      </c>
    </row>
    <row r="7" spans="1:2" x14ac:dyDescent="0.25">
      <c r="A7" s="7" t="s">
        <v>48</v>
      </c>
      <c r="B7" s="8">
        <v>11</v>
      </c>
    </row>
    <row r="8" spans="1:2" x14ac:dyDescent="0.25">
      <c r="A8" s="7" t="s">
        <v>43</v>
      </c>
      <c r="B8" s="8">
        <v>100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67CA1-452B-4167-A790-28C5C7EF153D}">
  <dimension ref="A3:B7"/>
  <sheetViews>
    <sheetView workbookViewId="0">
      <selection activeCell="Q16" sqref="Q16"/>
    </sheetView>
  </sheetViews>
  <sheetFormatPr defaultRowHeight="15" x14ac:dyDescent="0.25"/>
  <cols>
    <col min="1" max="1" width="13.140625" bestFit="1" customWidth="1"/>
    <col min="2" max="2" width="18.5703125" bestFit="1" customWidth="1"/>
  </cols>
  <sheetData>
    <row r="3" spans="1:2" x14ac:dyDescent="0.25">
      <c r="A3" s="6" t="s">
        <v>42</v>
      </c>
      <c r="B3" t="s">
        <v>44</v>
      </c>
    </row>
    <row r="4" spans="1:2" x14ac:dyDescent="0.25">
      <c r="A4" s="7" t="s">
        <v>13</v>
      </c>
      <c r="B4" s="8">
        <v>32</v>
      </c>
    </row>
    <row r="5" spans="1:2" x14ac:dyDescent="0.25">
      <c r="A5" s="7" t="s">
        <v>23</v>
      </c>
      <c r="B5" s="8">
        <v>44</v>
      </c>
    </row>
    <row r="6" spans="1:2" x14ac:dyDescent="0.25">
      <c r="A6" s="7" t="s">
        <v>19</v>
      </c>
      <c r="B6" s="8">
        <v>24</v>
      </c>
    </row>
    <row r="7" spans="1:2" x14ac:dyDescent="0.25">
      <c r="A7" s="7" t="s">
        <v>43</v>
      </c>
      <c r="B7" s="8">
        <v>100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115A-7BAE-45F1-BA95-26B8169D78D5}">
  <dimension ref="A1:F5"/>
  <sheetViews>
    <sheetView showGridLines="0" tabSelected="1" topLeftCell="A2" zoomScale="85" zoomScaleNormal="85" workbookViewId="0">
      <selection activeCell="S22" sqref="S22"/>
    </sheetView>
  </sheetViews>
  <sheetFormatPr defaultRowHeight="15" x14ac:dyDescent="0.25"/>
  <cols>
    <col min="1" max="1" width="24" bestFit="1" customWidth="1"/>
    <col min="2" max="2" width="29.85546875" bestFit="1" customWidth="1"/>
    <col min="3" max="3" width="39.42578125" bestFit="1" customWidth="1"/>
    <col min="4" max="4" width="32.85546875" bestFit="1" customWidth="1"/>
    <col min="5" max="5" width="23" bestFit="1" customWidth="1"/>
  </cols>
  <sheetData>
    <row r="1" spans="1:6" ht="33" x14ac:dyDescent="0.45">
      <c r="A1" s="9" t="s">
        <v>49</v>
      </c>
      <c r="B1" s="9"/>
      <c r="C1" s="9"/>
      <c r="D1" s="9"/>
      <c r="E1" s="9"/>
      <c r="F1" s="9"/>
    </row>
    <row r="4" spans="1:6" ht="26.25" x14ac:dyDescent="0.4">
      <c r="A4" s="10" t="s">
        <v>37</v>
      </c>
      <c r="B4" s="10" t="s">
        <v>38</v>
      </c>
      <c r="C4" s="10" t="s">
        <v>39</v>
      </c>
      <c r="D4" s="10" t="s">
        <v>40</v>
      </c>
      <c r="E4" s="10" t="s">
        <v>41</v>
      </c>
    </row>
    <row r="5" spans="1:6" ht="26.25" x14ac:dyDescent="0.4">
      <c r="A5" s="11">
        <f>'KPI DASHBOARD'!B1</f>
        <v>100</v>
      </c>
      <c r="B5" s="12">
        <f>'KPI DASHBOARD'!B2</f>
        <v>0.5544554455445545</v>
      </c>
      <c r="C5" s="11">
        <f>'KPI DASHBOARD'!B3</f>
        <v>2</v>
      </c>
      <c r="D5" s="11">
        <f>'KPI DASHBOARD'!B4</f>
        <v>30.15</v>
      </c>
      <c r="E5" s="12">
        <f>'KPI DASHBOARD'!B5</f>
        <v>0.43564356435643564</v>
      </c>
    </row>
  </sheetData>
  <mergeCells count="1">
    <mergeCell ref="A1: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
  <sheetViews>
    <sheetView topLeftCell="A2" workbookViewId="0">
      <selection activeCell="M2" sqref="A1:N101"/>
    </sheetView>
  </sheetViews>
  <sheetFormatPr defaultRowHeight="15" x14ac:dyDescent="0.25"/>
  <cols>
    <col min="1" max="1" width="12.42578125" customWidth="1"/>
    <col min="2" max="2" width="17.5703125" customWidth="1"/>
    <col min="3" max="3" width="16.85546875" customWidth="1"/>
    <col min="4" max="4" width="16.85546875" bestFit="1" customWidth="1"/>
    <col min="5" max="5" width="17.7109375" customWidth="1"/>
    <col min="6" max="6" width="15.85546875" customWidth="1"/>
    <col min="7" max="7" width="21.28515625" customWidth="1"/>
    <col min="8" max="8" width="12.85546875" customWidth="1"/>
    <col min="10" max="10" width="9.85546875" customWidth="1"/>
    <col min="11" max="11" width="10" bestFit="1" customWidth="1"/>
    <col min="12" max="12" width="14.140625" customWidth="1"/>
    <col min="13" max="13" width="21.28515625" customWidth="1"/>
  </cols>
  <sheetData>
    <row r="1" spans="1:14" x14ac:dyDescent="0.25">
      <c r="A1" t="s">
        <v>0</v>
      </c>
      <c r="B1" t="s">
        <v>1</v>
      </c>
      <c r="C1" t="s">
        <v>2</v>
      </c>
      <c r="D1" t="s">
        <v>3</v>
      </c>
      <c r="E1" t="s">
        <v>4</v>
      </c>
      <c r="F1" t="s">
        <v>5</v>
      </c>
      <c r="G1" t="s">
        <v>6</v>
      </c>
      <c r="H1" t="s">
        <v>7</v>
      </c>
      <c r="I1" t="s">
        <v>8</v>
      </c>
      <c r="J1" t="s">
        <v>9</v>
      </c>
      <c r="K1" t="s">
        <v>10</v>
      </c>
      <c r="L1" t="s">
        <v>11</v>
      </c>
      <c r="M1" t="s">
        <v>35</v>
      </c>
      <c r="N1" t="s">
        <v>36</v>
      </c>
    </row>
    <row r="2" spans="1:14" x14ac:dyDescent="0.25">
      <c r="A2">
        <v>1001</v>
      </c>
      <c r="B2" s="1">
        <v>45659</v>
      </c>
      <c r="C2" s="1">
        <v>45662</v>
      </c>
      <c r="D2" t="s">
        <v>12</v>
      </c>
      <c r="E2" t="s">
        <v>13</v>
      </c>
      <c r="F2" t="s">
        <v>14</v>
      </c>
      <c r="G2">
        <v>45</v>
      </c>
      <c r="H2" t="s">
        <v>15</v>
      </c>
      <c r="I2">
        <v>56</v>
      </c>
      <c r="J2" t="s">
        <v>16</v>
      </c>
      <c r="K2" t="s">
        <v>17</v>
      </c>
      <c r="L2">
        <v>25000</v>
      </c>
      <c r="M2">
        <f>#REF!-#REF!</f>
        <v>3</v>
      </c>
      <c r="N2" t="str">
        <f>TEXT(#REF!,"MMM")</f>
        <v>Jan</v>
      </c>
    </row>
    <row r="3" spans="1:14" x14ac:dyDescent="0.25">
      <c r="A3">
        <v>1002</v>
      </c>
      <c r="B3" s="1">
        <v>45660</v>
      </c>
      <c r="C3" s="1">
        <v>45661</v>
      </c>
      <c r="D3" t="s">
        <v>18</v>
      </c>
      <c r="E3" t="s">
        <v>19</v>
      </c>
      <c r="F3" t="s">
        <v>14</v>
      </c>
      <c r="G3">
        <v>20</v>
      </c>
      <c r="H3" t="s">
        <v>15</v>
      </c>
      <c r="I3">
        <v>42</v>
      </c>
      <c r="J3" t="s">
        <v>20</v>
      </c>
      <c r="K3" t="s">
        <v>21</v>
      </c>
      <c r="L3">
        <v>18000</v>
      </c>
      <c r="M3">
        <f>#REF!-#REF!</f>
        <v>1</v>
      </c>
      <c r="N3" t="str">
        <f>TEXT(#REF!,"MMM")</f>
        <v>Jan</v>
      </c>
    </row>
    <row r="4" spans="1:14" x14ac:dyDescent="0.25">
      <c r="A4">
        <v>1003</v>
      </c>
      <c r="B4" s="1">
        <v>45660</v>
      </c>
      <c r="C4" s="1">
        <v>45660</v>
      </c>
      <c r="D4" t="s">
        <v>22</v>
      </c>
      <c r="E4" t="s">
        <v>23</v>
      </c>
      <c r="F4" t="s">
        <v>15</v>
      </c>
      <c r="G4">
        <v>15</v>
      </c>
      <c r="H4" t="s">
        <v>14</v>
      </c>
      <c r="I4">
        <v>29</v>
      </c>
      <c r="J4" t="s">
        <v>16</v>
      </c>
      <c r="K4" t="s">
        <v>24</v>
      </c>
      <c r="L4">
        <v>3000</v>
      </c>
      <c r="M4">
        <f>#REF!-#REF!</f>
        <v>0</v>
      </c>
      <c r="N4" t="str">
        <f>TEXT(#REF!,"MMM")</f>
        <v>Jan</v>
      </c>
    </row>
    <row r="5" spans="1:14" x14ac:dyDescent="0.25">
      <c r="A5">
        <v>1004</v>
      </c>
      <c r="B5" s="1">
        <v>45661</v>
      </c>
      <c r="C5" s="1">
        <v>45665</v>
      </c>
      <c r="D5" t="s">
        <v>25</v>
      </c>
      <c r="E5" t="s">
        <v>13</v>
      </c>
      <c r="F5" t="s">
        <v>14</v>
      </c>
      <c r="G5">
        <v>60</v>
      </c>
      <c r="H5" t="s">
        <v>15</v>
      </c>
      <c r="I5">
        <v>67</v>
      </c>
      <c r="J5" t="s">
        <v>20</v>
      </c>
      <c r="K5" t="s">
        <v>26</v>
      </c>
      <c r="L5">
        <v>40000</v>
      </c>
      <c r="M5">
        <f>#REF!-#REF!</f>
        <v>4</v>
      </c>
      <c r="N5" t="str">
        <f>TEXT(#REF!,"MMM")</f>
        <v>Jan</v>
      </c>
    </row>
    <row r="6" spans="1:14" x14ac:dyDescent="0.25">
      <c r="A6">
        <v>1005</v>
      </c>
      <c r="B6" s="1">
        <v>45662</v>
      </c>
      <c r="C6" s="1">
        <v>45663</v>
      </c>
      <c r="D6" t="s">
        <v>27</v>
      </c>
      <c r="E6" t="s">
        <v>23</v>
      </c>
      <c r="F6" t="s">
        <v>15</v>
      </c>
      <c r="G6">
        <v>10</v>
      </c>
      <c r="H6" t="s">
        <v>14</v>
      </c>
      <c r="I6">
        <v>8</v>
      </c>
      <c r="J6" t="s">
        <v>20</v>
      </c>
      <c r="K6" t="s">
        <v>28</v>
      </c>
      <c r="L6">
        <v>2500</v>
      </c>
      <c r="M6">
        <f>#REF!-#REF!</f>
        <v>1</v>
      </c>
      <c r="N6" t="str">
        <f>TEXT(#REF!,"MMM")</f>
        <v>Jan</v>
      </c>
    </row>
    <row r="7" spans="1:14" x14ac:dyDescent="0.25">
      <c r="A7">
        <v>1006</v>
      </c>
      <c r="B7" s="1">
        <v>45663</v>
      </c>
      <c r="C7" s="1">
        <v>45667</v>
      </c>
      <c r="D7" t="s">
        <v>12</v>
      </c>
      <c r="E7" t="s">
        <v>13</v>
      </c>
      <c r="F7" t="s">
        <v>14</v>
      </c>
      <c r="G7">
        <v>55</v>
      </c>
      <c r="H7" t="s">
        <v>15</v>
      </c>
      <c r="I7">
        <v>61</v>
      </c>
      <c r="J7" t="s">
        <v>16</v>
      </c>
      <c r="K7" t="s">
        <v>17</v>
      </c>
      <c r="L7">
        <v>35000</v>
      </c>
      <c r="M7">
        <f>#REF!-#REF!</f>
        <v>4</v>
      </c>
      <c r="N7" t="str">
        <f>TEXT(#REF!,"MMM")</f>
        <v>Jan</v>
      </c>
    </row>
    <row r="8" spans="1:14" x14ac:dyDescent="0.25">
      <c r="A8">
        <v>1007</v>
      </c>
      <c r="B8" s="1">
        <v>45664</v>
      </c>
      <c r="C8" s="1">
        <v>45664</v>
      </c>
      <c r="D8" t="s">
        <v>29</v>
      </c>
      <c r="E8" t="s">
        <v>23</v>
      </c>
      <c r="F8" t="s">
        <v>15</v>
      </c>
      <c r="G8">
        <v>12</v>
      </c>
      <c r="H8" t="s">
        <v>14</v>
      </c>
      <c r="I8">
        <v>34</v>
      </c>
      <c r="J8" t="s">
        <v>20</v>
      </c>
      <c r="K8" t="s">
        <v>30</v>
      </c>
      <c r="L8">
        <v>2200</v>
      </c>
      <c r="M8">
        <f>#REF!-#REF!</f>
        <v>0</v>
      </c>
      <c r="N8" t="str">
        <f>TEXT(#REF!,"MMM")</f>
        <v>Jan</v>
      </c>
    </row>
    <row r="9" spans="1:14" x14ac:dyDescent="0.25">
      <c r="A9">
        <v>1008</v>
      </c>
      <c r="B9" s="1">
        <v>45665</v>
      </c>
      <c r="C9" s="1">
        <v>45669</v>
      </c>
      <c r="D9" t="s">
        <v>18</v>
      </c>
      <c r="E9" t="s">
        <v>19</v>
      </c>
      <c r="F9" t="s">
        <v>14</v>
      </c>
      <c r="G9">
        <v>25</v>
      </c>
      <c r="H9" t="s">
        <v>15</v>
      </c>
      <c r="I9">
        <v>49</v>
      </c>
      <c r="J9" t="s">
        <v>16</v>
      </c>
      <c r="K9" t="s">
        <v>21</v>
      </c>
      <c r="L9">
        <v>28000</v>
      </c>
      <c r="M9">
        <f>#REF!-#REF!</f>
        <v>4</v>
      </c>
      <c r="N9" t="str">
        <f>TEXT(#REF!,"MMM")</f>
        <v>Jan</v>
      </c>
    </row>
    <row r="10" spans="1:14" x14ac:dyDescent="0.25">
      <c r="A10">
        <v>1009</v>
      </c>
      <c r="B10" s="1">
        <v>45666</v>
      </c>
      <c r="C10" s="1">
        <v>45666</v>
      </c>
      <c r="D10" t="s">
        <v>31</v>
      </c>
      <c r="E10" t="s">
        <v>23</v>
      </c>
      <c r="F10" t="s">
        <v>15</v>
      </c>
      <c r="G10">
        <v>18</v>
      </c>
      <c r="H10" t="s">
        <v>14</v>
      </c>
      <c r="I10">
        <v>23</v>
      </c>
      <c r="J10" t="s">
        <v>20</v>
      </c>
      <c r="K10" t="s">
        <v>32</v>
      </c>
      <c r="L10">
        <v>1800</v>
      </c>
      <c r="M10">
        <f>#REF!-#REF!</f>
        <v>0</v>
      </c>
      <c r="N10" t="str">
        <f>TEXT(#REF!,"MMM")</f>
        <v>Jan</v>
      </c>
    </row>
    <row r="11" spans="1:14" x14ac:dyDescent="0.25">
      <c r="A11">
        <v>1010</v>
      </c>
      <c r="B11" s="1">
        <v>45667</v>
      </c>
      <c r="C11" s="1">
        <v>45672</v>
      </c>
      <c r="D11" t="s">
        <v>25</v>
      </c>
      <c r="E11" t="s">
        <v>13</v>
      </c>
      <c r="F11" t="s">
        <v>14</v>
      </c>
      <c r="G11">
        <v>70</v>
      </c>
      <c r="H11" t="s">
        <v>15</v>
      </c>
      <c r="I11">
        <v>73</v>
      </c>
      <c r="J11" t="s">
        <v>16</v>
      </c>
      <c r="K11" t="s">
        <v>26</v>
      </c>
      <c r="L11">
        <v>52000</v>
      </c>
      <c r="M11">
        <f>#REF!-#REF!</f>
        <v>5</v>
      </c>
      <c r="N11" t="str">
        <f>TEXT(#REF!,"MMM")</f>
        <v>Jan</v>
      </c>
    </row>
    <row r="12" spans="1:14" x14ac:dyDescent="0.25">
      <c r="A12">
        <v>1011</v>
      </c>
      <c r="B12" s="1">
        <v>45668</v>
      </c>
      <c r="C12" s="1">
        <v>45670</v>
      </c>
      <c r="D12" t="s">
        <v>27</v>
      </c>
      <c r="E12" t="s">
        <v>13</v>
      </c>
      <c r="F12" t="s">
        <v>14</v>
      </c>
      <c r="G12">
        <v>30</v>
      </c>
      <c r="H12" t="s">
        <v>15</v>
      </c>
      <c r="I12">
        <v>5</v>
      </c>
      <c r="J12" t="s">
        <v>16</v>
      </c>
      <c r="K12" t="s">
        <v>28</v>
      </c>
      <c r="L12">
        <v>12000</v>
      </c>
      <c r="M12">
        <f>#REF!-#REF!</f>
        <v>2</v>
      </c>
      <c r="N12" t="str">
        <f>TEXT(#REF!,"MMM")</f>
        <v>Jan</v>
      </c>
    </row>
    <row r="13" spans="1:14" x14ac:dyDescent="0.25">
      <c r="A13">
        <v>1012</v>
      </c>
      <c r="B13" s="1">
        <v>45669</v>
      </c>
      <c r="C13" s="1">
        <v>45669</v>
      </c>
      <c r="D13" t="s">
        <v>33</v>
      </c>
      <c r="E13" t="s">
        <v>23</v>
      </c>
      <c r="F13" t="s">
        <v>15</v>
      </c>
      <c r="G13">
        <v>22</v>
      </c>
      <c r="H13" t="s">
        <v>14</v>
      </c>
      <c r="I13">
        <v>31</v>
      </c>
      <c r="J13" t="s">
        <v>20</v>
      </c>
      <c r="K13" t="s">
        <v>34</v>
      </c>
      <c r="L13">
        <v>4500</v>
      </c>
      <c r="M13">
        <f>#REF!-#REF!</f>
        <v>0</v>
      </c>
      <c r="N13" t="str">
        <f>TEXT(#REF!,"MMM")</f>
        <v>Jan</v>
      </c>
    </row>
    <row r="14" spans="1:14" x14ac:dyDescent="0.25">
      <c r="A14">
        <v>1013</v>
      </c>
      <c r="B14" s="1">
        <v>45670</v>
      </c>
      <c r="C14" s="1">
        <v>45673</v>
      </c>
      <c r="D14" t="s">
        <v>12</v>
      </c>
      <c r="E14" t="s">
        <v>19</v>
      </c>
      <c r="F14" t="s">
        <v>14</v>
      </c>
      <c r="G14">
        <v>40</v>
      </c>
      <c r="H14" t="s">
        <v>15</v>
      </c>
      <c r="I14">
        <v>58</v>
      </c>
      <c r="J14" t="s">
        <v>20</v>
      </c>
      <c r="K14" t="s">
        <v>17</v>
      </c>
      <c r="L14">
        <v>31000</v>
      </c>
      <c r="M14">
        <f>#REF!-#REF!</f>
        <v>3</v>
      </c>
      <c r="N14" t="str">
        <f>TEXT(#REF!,"MMM")</f>
        <v>Jan</v>
      </c>
    </row>
    <row r="15" spans="1:14" x14ac:dyDescent="0.25">
      <c r="A15">
        <v>1014</v>
      </c>
      <c r="B15" s="1">
        <v>45671</v>
      </c>
      <c r="C15" s="1">
        <v>45671</v>
      </c>
      <c r="D15" t="s">
        <v>22</v>
      </c>
      <c r="E15" t="s">
        <v>23</v>
      </c>
      <c r="F15" t="s">
        <v>15</v>
      </c>
      <c r="G15">
        <v>14</v>
      </c>
      <c r="H15" t="s">
        <v>14</v>
      </c>
      <c r="I15">
        <v>45</v>
      </c>
      <c r="J15" t="s">
        <v>16</v>
      </c>
      <c r="K15" t="s">
        <v>24</v>
      </c>
      <c r="L15">
        <v>3500</v>
      </c>
      <c r="M15">
        <f>#REF!-#REF!</f>
        <v>0</v>
      </c>
      <c r="N15" t="str">
        <f>TEXT(#REF!,"MMM")</f>
        <v>Jan</v>
      </c>
    </row>
    <row r="16" spans="1:14" x14ac:dyDescent="0.25">
      <c r="A16">
        <v>1015</v>
      </c>
      <c r="B16" s="1">
        <v>45672</v>
      </c>
      <c r="C16" s="1">
        <v>45676</v>
      </c>
      <c r="D16" t="s">
        <v>18</v>
      </c>
      <c r="E16" t="s">
        <v>13</v>
      </c>
      <c r="F16" t="s">
        <v>14</v>
      </c>
      <c r="G16">
        <v>65</v>
      </c>
      <c r="H16" t="s">
        <v>15</v>
      </c>
      <c r="I16">
        <v>52</v>
      </c>
      <c r="J16" t="s">
        <v>20</v>
      </c>
      <c r="K16" t="s">
        <v>21</v>
      </c>
      <c r="L16">
        <v>39000</v>
      </c>
      <c r="M16">
        <f>#REF!-#REF!</f>
        <v>4</v>
      </c>
      <c r="N16" t="str">
        <f>TEXT(#REF!,"MMM")</f>
        <v>Jan</v>
      </c>
    </row>
    <row r="17" spans="1:14" x14ac:dyDescent="0.25">
      <c r="A17">
        <v>1016</v>
      </c>
      <c r="B17" s="1">
        <v>45673</v>
      </c>
      <c r="C17" s="1">
        <v>45674</v>
      </c>
      <c r="D17" t="s">
        <v>29</v>
      </c>
      <c r="E17" t="s">
        <v>23</v>
      </c>
      <c r="F17" t="s">
        <v>15</v>
      </c>
      <c r="G17">
        <v>9</v>
      </c>
      <c r="H17" t="s">
        <v>14</v>
      </c>
      <c r="I17">
        <v>27</v>
      </c>
      <c r="J17" t="s">
        <v>16</v>
      </c>
      <c r="K17" t="s">
        <v>30</v>
      </c>
      <c r="L17">
        <v>2000</v>
      </c>
      <c r="M17">
        <f>#REF!-#REF!</f>
        <v>1</v>
      </c>
      <c r="N17" t="str">
        <f>TEXT(#REF!,"MMM")</f>
        <v>Jan</v>
      </c>
    </row>
    <row r="18" spans="1:14" x14ac:dyDescent="0.25">
      <c r="A18">
        <v>1017</v>
      </c>
      <c r="B18" s="1">
        <v>45674</v>
      </c>
      <c r="C18" s="1">
        <v>45678</v>
      </c>
      <c r="D18" t="s">
        <v>25</v>
      </c>
      <c r="E18" t="s">
        <v>19</v>
      </c>
      <c r="F18" t="s">
        <v>14</v>
      </c>
      <c r="G18">
        <v>35</v>
      </c>
      <c r="H18" t="s">
        <v>15</v>
      </c>
      <c r="I18">
        <v>64</v>
      </c>
      <c r="J18" t="s">
        <v>20</v>
      </c>
      <c r="K18" t="s">
        <v>26</v>
      </c>
      <c r="L18">
        <v>42000</v>
      </c>
      <c r="M18">
        <f>#REF!-#REF!</f>
        <v>4</v>
      </c>
      <c r="N18" t="str">
        <f>TEXT(#REF!,"MMM")</f>
        <v>Jan</v>
      </c>
    </row>
    <row r="19" spans="1:14" x14ac:dyDescent="0.25">
      <c r="A19">
        <v>1018</v>
      </c>
      <c r="B19" s="1">
        <v>45675</v>
      </c>
      <c r="C19" s="1">
        <v>45675</v>
      </c>
      <c r="D19" t="s">
        <v>31</v>
      </c>
      <c r="E19" t="s">
        <v>23</v>
      </c>
      <c r="F19" t="s">
        <v>15</v>
      </c>
      <c r="G19">
        <v>16</v>
      </c>
      <c r="H19" t="s">
        <v>14</v>
      </c>
      <c r="I19">
        <v>39</v>
      </c>
      <c r="J19" t="s">
        <v>16</v>
      </c>
      <c r="K19" t="s">
        <v>32</v>
      </c>
      <c r="L19">
        <v>2100</v>
      </c>
      <c r="M19">
        <f>#REF!-#REF!</f>
        <v>0</v>
      </c>
      <c r="N19" t="str">
        <f>TEXT(#REF!,"MMM")</f>
        <v>Jan</v>
      </c>
    </row>
    <row r="20" spans="1:14" x14ac:dyDescent="0.25">
      <c r="A20">
        <v>1019</v>
      </c>
      <c r="B20" s="1">
        <v>45676</v>
      </c>
      <c r="C20" s="1">
        <v>45680</v>
      </c>
      <c r="D20" t="s">
        <v>33</v>
      </c>
      <c r="E20" t="s">
        <v>13</v>
      </c>
      <c r="F20" t="s">
        <v>14</v>
      </c>
      <c r="G20">
        <v>50</v>
      </c>
      <c r="H20" t="s">
        <v>15</v>
      </c>
      <c r="I20">
        <v>36</v>
      </c>
      <c r="J20" t="s">
        <v>20</v>
      </c>
      <c r="K20" t="s">
        <v>34</v>
      </c>
      <c r="L20">
        <v>27000</v>
      </c>
      <c r="M20">
        <f>#REF!-#REF!</f>
        <v>4</v>
      </c>
      <c r="N20" t="str">
        <f>TEXT(#REF!,"MMM")</f>
        <v>Jan</v>
      </c>
    </row>
    <row r="21" spans="1:14" x14ac:dyDescent="0.25">
      <c r="A21">
        <v>1020</v>
      </c>
      <c r="B21" s="1">
        <v>45677</v>
      </c>
      <c r="C21" s="1">
        <v>45677</v>
      </c>
      <c r="D21" t="s">
        <v>27</v>
      </c>
      <c r="E21" t="s">
        <v>23</v>
      </c>
      <c r="F21" t="s">
        <v>15</v>
      </c>
      <c r="G21">
        <v>11</v>
      </c>
      <c r="H21" t="s">
        <v>14</v>
      </c>
      <c r="I21">
        <v>12</v>
      </c>
      <c r="J21" t="s">
        <v>20</v>
      </c>
      <c r="K21" t="s">
        <v>28</v>
      </c>
      <c r="L21">
        <v>2600</v>
      </c>
      <c r="M21">
        <f>#REF!-#REF!</f>
        <v>0</v>
      </c>
      <c r="N21" t="str">
        <f>TEXT(#REF!,"MMM")</f>
        <v>Jan</v>
      </c>
    </row>
    <row r="22" spans="1:14" x14ac:dyDescent="0.25">
      <c r="A22">
        <v>1021</v>
      </c>
      <c r="B22" s="1">
        <v>45678</v>
      </c>
      <c r="C22" s="1">
        <v>45681</v>
      </c>
      <c r="D22" t="s">
        <v>12</v>
      </c>
      <c r="E22" t="s">
        <v>13</v>
      </c>
      <c r="F22" t="s">
        <v>14</v>
      </c>
      <c r="G22">
        <v>48</v>
      </c>
      <c r="H22" t="s">
        <v>15</v>
      </c>
      <c r="I22">
        <v>54</v>
      </c>
      <c r="J22" t="s">
        <v>16</v>
      </c>
      <c r="K22" t="s">
        <v>17</v>
      </c>
      <c r="L22">
        <v>29000</v>
      </c>
      <c r="M22">
        <f>#REF!-#REF!</f>
        <v>3</v>
      </c>
      <c r="N22" t="str">
        <f>TEXT(#REF!,"MMM")</f>
        <v>Jan</v>
      </c>
    </row>
    <row r="23" spans="1:14" x14ac:dyDescent="0.25">
      <c r="A23">
        <v>1022</v>
      </c>
      <c r="B23" s="1">
        <v>45679</v>
      </c>
      <c r="C23" s="1">
        <v>45680</v>
      </c>
      <c r="D23" t="s">
        <v>18</v>
      </c>
      <c r="E23" t="s">
        <v>19</v>
      </c>
      <c r="F23" t="s">
        <v>14</v>
      </c>
      <c r="G23">
        <v>19</v>
      </c>
      <c r="H23" t="s">
        <v>15</v>
      </c>
      <c r="I23">
        <v>47</v>
      </c>
      <c r="J23" t="s">
        <v>20</v>
      </c>
      <c r="K23" t="s">
        <v>21</v>
      </c>
      <c r="L23">
        <v>17000</v>
      </c>
      <c r="M23">
        <f>#REF!-#REF!</f>
        <v>1</v>
      </c>
      <c r="N23" t="str">
        <f>TEXT(#REF!,"MMM")</f>
        <v>Jan</v>
      </c>
    </row>
    <row r="24" spans="1:14" x14ac:dyDescent="0.25">
      <c r="A24">
        <v>1023</v>
      </c>
      <c r="B24" s="1">
        <v>45680</v>
      </c>
      <c r="C24" s="1">
        <v>45680</v>
      </c>
      <c r="D24" t="s">
        <v>22</v>
      </c>
      <c r="E24" t="s">
        <v>23</v>
      </c>
      <c r="F24" t="s">
        <v>15</v>
      </c>
      <c r="G24">
        <v>13</v>
      </c>
      <c r="H24" t="s">
        <v>14</v>
      </c>
      <c r="I24">
        <v>33</v>
      </c>
      <c r="J24" t="s">
        <v>16</v>
      </c>
      <c r="K24" t="s">
        <v>24</v>
      </c>
      <c r="L24">
        <v>3200</v>
      </c>
      <c r="M24">
        <f>#REF!-#REF!</f>
        <v>0</v>
      </c>
      <c r="N24" t="str">
        <f>TEXT(#REF!,"MMM")</f>
        <v>Jan</v>
      </c>
    </row>
    <row r="25" spans="1:14" x14ac:dyDescent="0.25">
      <c r="A25">
        <v>1024</v>
      </c>
      <c r="B25" s="1">
        <v>45681</v>
      </c>
      <c r="C25" s="1">
        <v>45686</v>
      </c>
      <c r="D25" t="s">
        <v>25</v>
      </c>
      <c r="E25" t="s">
        <v>13</v>
      </c>
      <c r="F25" t="s">
        <v>14</v>
      </c>
      <c r="G25">
        <v>72</v>
      </c>
      <c r="H25" t="s">
        <v>15</v>
      </c>
      <c r="I25">
        <v>71</v>
      </c>
      <c r="J25" t="s">
        <v>20</v>
      </c>
      <c r="K25" t="s">
        <v>26</v>
      </c>
      <c r="L25">
        <v>54000</v>
      </c>
      <c r="M25">
        <f>#REF!-#REF!</f>
        <v>5</v>
      </c>
      <c r="N25" t="str">
        <f>TEXT(#REF!,"MMM")</f>
        <v>Jan</v>
      </c>
    </row>
    <row r="26" spans="1:14" x14ac:dyDescent="0.25">
      <c r="A26">
        <v>1025</v>
      </c>
      <c r="B26" s="1">
        <v>45682</v>
      </c>
      <c r="C26" s="1">
        <v>45682</v>
      </c>
      <c r="D26" t="s">
        <v>29</v>
      </c>
      <c r="E26" t="s">
        <v>23</v>
      </c>
      <c r="F26" t="s">
        <v>15</v>
      </c>
      <c r="G26">
        <v>8</v>
      </c>
      <c r="H26" t="s">
        <v>14</v>
      </c>
      <c r="I26">
        <v>26</v>
      </c>
      <c r="J26" t="s">
        <v>20</v>
      </c>
      <c r="K26" t="s">
        <v>30</v>
      </c>
      <c r="L26">
        <v>1900</v>
      </c>
      <c r="M26">
        <f>#REF!-#REF!</f>
        <v>0</v>
      </c>
      <c r="N26" t="str">
        <f>TEXT(#REF!,"MMM")</f>
        <v>Jan</v>
      </c>
    </row>
    <row r="27" spans="1:14" x14ac:dyDescent="0.25">
      <c r="A27">
        <v>1026</v>
      </c>
      <c r="B27" s="1">
        <v>45683</v>
      </c>
      <c r="C27" s="1">
        <v>45687</v>
      </c>
      <c r="D27" t="s">
        <v>33</v>
      </c>
      <c r="E27" t="s">
        <v>19</v>
      </c>
      <c r="F27" t="s">
        <v>14</v>
      </c>
      <c r="G27">
        <v>28</v>
      </c>
      <c r="H27" t="s">
        <v>15</v>
      </c>
      <c r="I27">
        <v>41</v>
      </c>
      <c r="J27" t="s">
        <v>20</v>
      </c>
      <c r="K27" t="s">
        <v>34</v>
      </c>
      <c r="L27">
        <v>23000</v>
      </c>
      <c r="M27">
        <f>#REF!-#REF!</f>
        <v>4</v>
      </c>
      <c r="N27" t="str">
        <f>TEXT(#REF!,"MMM")</f>
        <v>Jan</v>
      </c>
    </row>
    <row r="28" spans="1:14" x14ac:dyDescent="0.25">
      <c r="A28">
        <v>1027</v>
      </c>
      <c r="B28" s="1">
        <v>45684</v>
      </c>
      <c r="C28" s="1">
        <v>45684</v>
      </c>
      <c r="D28" t="s">
        <v>31</v>
      </c>
      <c r="E28" t="s">
        <v>23</v>
      </c>
      <c r="F28" t="s">
        <v>15</v>
      </c>
      <c r="G28">
        <v>17</v>
      </c>
      <c r="H28" t="s">
        <v>14</v>
      </c>
      <c r="I28">
        <v>37</v>
      </c>
      <c r="J28" t="s">
        <v>16</v>
      </c>
      <c r="K28" t="s">
        <v>32</v>
      </c>
      <c r="L28">
        <v>2000</v>
      </c>
      <c r="M28">
        <f>#REF!-#REF!</f>
        <v>0</v>
      </c>
      <c r="N28" t="str">
        <f>TEXT(#REF!,"MMM")</f>
        <v>Jan</v>
      </c>
    </row>
    <row r="29" spans="1:14" x14ac:dyDescent="0.25">
      <c r="A29">
        <v>1028</v>
      </c>
      <c r="B29" s="1">
        <v>45685</v>
      </c>
      <c r="C29" s="1">
        <v>45689</v>
      </c>
      <c r="D29" t="s">
        <v>27</v>
      </c>
      <c r="E29" t="s">
        <v>13</v>
      </c>
      <c r="F29" t="s">
        <v>14</v>
      </c>
      <c r="G29">
        <v>33</v>
      </c>
      <c r="H29" t="s">
        <v>15</v>
      </c>
      <c r="I29">
        <v>9</v>
      </c>
      <c r="J29" t="s">
        <v>16</v>
      </c>
      <c r="K29" t="s">
        <v>28</v>
      </c>
      <c r="L29">
        <v>14500</v>
      </c>
      <c r="M29">
        <f>#REF!-#REF!</f>
        <v>4</v>
      </c>
      <c r="N29" t="str">
        <f>TEXT(#REF!,"MMM")</f>
        <v>Jan</v>
      </c>
    </row>
    <row r="30" spans="1:14" x14ac:dyDescent="0.25">
      <c r="A30">
        <v>1029</v>
      </c>
      <c r="B30" s="1">
        <v>45686</v>
      </c>
      <c r="C30" s="1">
        <v>45690</v>
      </c>
      <c r="D30" t="s">
        <v>12</v>
      </c>
      <c r="E30" t="s">
        <v>19</v>
      </c>
      <c r="F30" t="s">
        <v>14</v>
      </c>
      <c r="G30">
        <v>42</v>
      </c>
      <c r="H30" t="s">
        <v>15</v>
      </c>
      <c r="I30">
        <v>62</v>
      </c>
      <c r="J30" t="s">
        <v>20</v>
      </c>
      <c r="K30" t="s">
        <v>17</v>
      </c>
      <c r="L30">
        <v>36000</v>
      </c>
      <c r="M30">
        <f>#REF!-#REF!</f>
        <v>4</v>
      </c>
      <c r="N30" t="str">
        <f>TEXT(#REF!,"MMM")</f>
        <v>Jan</v>
      </c>
    </row>
    <row r="31" spans="1:14" x14ac:dyDescent="0.25">
      <c r="A31">
        <v>1030</v>
      </c>
      <c r="B31" s="1">
        <v>45687</v>
      </c>
      <c r="C31" s="1">
        <v>45687</v>
      </c>
      <c r="D31" t="s">
        <v>22</v>
      </c>
      <c r="E31" t="s">
        <v>23</v>
      </c>
      <c r="F31" t="s">
        <v>15</v>
      </c>
      <c r="G31">
        <v>15</v>
      </c>
      <c r="H31" t="s">
        <v>14</v>
      </c>
      <c r="I31">
        <v>44</v>
      </c>
      <c r="J31" t="s">
        <v>20</v>
      </c>
      <c r="K31" t="s">
        <v>24</v>
      </c>
      <c r="L31">
        <v>3400</v>
      </c>
      <c r="M31">
        <f>#REF!-#REF!</f>
        <v>0</v>
      </c>
      <c r="N31" t="str">
        <f>TEXT(#REF!,"MMM")</f>
        <v>Jan</v>
      </c>
    </row>
    <row r="32" spans="1:14" x14ac:dyDescent="0.25">
      <c r="A32">
        <v>1031</v>
      </c>
      <c r="B32" s="1">
        <v>45689</v>
      </c>
      <c r="C32" s="1">
        <v>45692</v>
      </c>
      <c r="D32" t="s">
        <v>18</v>
      </c>
      <c r="E32" t="s">
        <v>13</v>
      </c>
      <c r="F32" t="s">
        <v>14</v>
      </c>
      <c r="G32">
        <v>58</v>
      </c>
      <c r="H32" t="s">
        <v>15</v>
      </c>
      <c r="I32">
        <v>53</v>
      </c>
      <c r="J32" t="s">
        <v>16</v>
      </c>
      <c r="K32" t="s">
        <v>21</v>
      </c>
      <c r="L32">
        <v>41000</v>
      </c>
      <c r="M32">
        <f>#REF!-#REF!</f>
        <v>3</v>
      </c>
      <c r="N32" t="str">
        <f>TEXT(#REF!,"MMM")</f>
        <v>Feb</v>
      </c>
    </row>
    <row r="33" spans="1:14" x14ac:dyDescent="0.25">
      <c r="A33">
        <v>1032</v>
      </c>
      <c r="B33" s="1">
        <v>45690</v>
      </c>
      <c r="C33" s="1">
        <v>45690</v>
      </c>
      <c r="D33" t="s">
        <v>29</v>
      </c>
      <c r="E33" t="s">
        <v>23</v>
      </c>
      <c r="F33" t="s">
        <v>15</v>
      </c>
      <c r="G33">
        <v>10</v>
      </c>
      <c r="H33" t="s">
        <v>14</v>
      </c>
      <c r="I33">
        <v>24</v>
      </c>
      <c r="J33" t="s">
        <v>20</v>
      </c>
      <c r="K33" t="s">
        <v>30</v>
      </c>
      <c r="L33">
        <v>2100</v>
      </c>
      <c r="M33">
        <f>#REF!-#REF!</f>
        <v>0</v>
      </c>
      <c r="N33" t="str">
        <f>TEXT(#REF!,"MMM")</f>
        <v>Feb</v>
      </c>
    </row>
    <row r="34" spans="1:14" x14ac:dyDescent="0.25">
      <c r="A34">
        <v>1033</v>
      </c>
      <c r="B34" s="1">
        <v>45691</v>
      </c>
      <c r="C34" s="1">
        <v>45695</v>
      </c>
      <c r="D34" t="s">
        <v>25</v>
      </c>
      <c r="E34" t="s">
        <v>19</v>
      </c>
      <c r="F34" t="s">
        <v>14</v>
      </c>
      <c r="G34">
        <v>36</v>
      </c>
      <c r="H34" t="s">
        <v>15</v>
      </c>
      <c r="I34">
        <v>66</v>
      </c>
      <c r="J34" t="s">
        <v>16</v>
      </c>
      <c r="K34" t="s">
        <v>26</v>
      </c>
      <c r="L34">
        <v>43000</v>
      </c>
      <c r="M34">
        <f>#REF!-#REF!</f>
        <v>4</v>
      </c>
      <c r="N34" t="str">
        <f>TEXT(#REF!,"MMM")</f>
        <v>Feb</v>
      </c>
    </row>
    <row r="35" spans="1:14" x14ac:dyDescent="0.25">
      <c r="A35">
        <v>1034</v>
      </c>
      <c r="B35" s="1">
        <v>45692</v>
      </c>
      <c r="C35" s="1">
        <v>45692</v>
      </c>
      <c r="D35" t="s">
        <v>31</v>
      </c>
      <c r="E35" t="s">
        <v>23</v>
      </c>
      <c r="F35" t="s">
        <v>15</v>
      </c>
      <c r="G35">
        <v>14</v>
      </c>
      <c r="H35" t="s">
        <v>14</v>
      </c>
      <c r="I35">
        <v>35</v>
      </c>
      <c r="J35" t="s">
        <v>20</v>
      </c>
      <c r="K35" t="s">
        <v>32</v>
      </c>
      <c r="L35">
        <v>2200</v>
      </c>
      <c r="M35">
        <f>#REF!-#REF!</f>
        <v>0</v>
      </c>
      <c r="N35" t="str">
        <f>TEXT(#REF!,"MMM")</f>
        <v>Feb</v>
      </c>
    </row>
    <row r="36" spans="1:14" x14ac:dyDescent="0.25">
      <c r="A36">
        <v>1035</v>
      </c>
      <c r="B36" s="1">
        <v>45693</v>
      </c>
      <c r="C36" s="1">
        <v>45696</v>
      </c>
      <c r="D36" t="s">
        <v>33</v>
      </c>
      <c r="E36" t="s">
        <v>13</v>
      </c>
      <c r="F36" t="s">
        <v>14</v>
      </c>
      <c r="G36">
        <v>47</v>
      </c>
      <c r="H36" t="s">
        <v>15</v>
      </c>
      <c r="I36">
        <v>38</v>
      </c>
      <c r="J36" t="s">
        <v>20</v>
      </c>
      <c r="K36" t="s">
        <v>34</v>
      </c>
      <c r="L36">
        <v>26500</v>
      </c>
      <c r="M36">
        <f>#REF!-#REF!</f>
        <v>3</v>
      </c>
      <c r="N36" t="str">
        <f>TEXT(#REF!,"MMM")</f>
        <v>Feb</v>
      </c>
    </row>
    <row r="37" spans="1:14" x14ac:dyDescent="0.25">
      <c r="A37">
        <v>1036</v>
      </c>
      <c r="B37" s="1">
        <v>45694</v>
      </c>
      <c r="C37" s="1">
        <v>45694</v>
      </c>
      <c r="D37" t="s">
        <v>27</v>
      </c>
      <c r="E37" t="s">
        <v>23</v>
      </c>
      <c r="F37" t="s">
        <v>15</v>
      </c>
      <c r="G37">
        <v>12</v>
      </c>
      <c r="H37" t="s">
        <v>14</v>
      </c>
      <c r="I37">
        <v>11</v>
      </c>
      <c r="J37" t="s">
        <v>16</v>
      </c>
      <c r="K37" t="s">
        <v>28</v>
      </c>
      <c r="L37">
        <v>2500</v>
      </c>
      <c r="M37">
        <f>#REF!-#REF!</f>
        <v>0</v>
      </c>
      <c r="N37" t="str">
        <f>TEXT(#REF!,"MMM")</f>
        <v>Feb</v>
      </c>
    </row>
    <row r="38" spans="1:14" x14ac:dyDescent="0.25">
      <c r="A38">
        <v>1037</v>
      </c>
      <c r="B38" s="1">
        <v>45695</v>
      </c>
      <c r="C38" s="1">
        <v>45698</v>
      </c>
      <c r="D38" t="s">
        <v>12</v>
      </c>
      <c r="E38" t="s">
        <v>13</v>
      </c>
      <c r="F38" t="s">
        <v>14</v>
      </c>
      <c r="G38">
        <v>51</v>
      </c>
      <c r="H38" t="s">
        <v>15</v>
      </c>
      <c r="I38">
        <v>57</v>
      </c>
      <c r="J38" t="s">
        <v>16</v>
      </c>
      <c r="K38" t="s">
        <v>17</v>
      </c>
      <c r="L38">
        <v>30500</v>
      </c>
      <c r="M38">
        <f>#REF!-#REF!</f>
        <v>3</v>
      </c>
      <c r="N38" t="str">
        <f>TEXT(#REF!,"MMM")</f>
        <v>Feb</v>
      </c>
    </row>
    <row r="39" spans="1:14" x14ac:dyDescent="0.25">
      <c r="A39">
        <v>1038</v>
      </c>
      <c r="B39" s="1">
        <v>45696</v>
      </c>
      <c r="C39" s="1">
        <v>45697</v>
      </c>
      <c r="D39" t="s">
        <v>18</v>
      </c>
      <c r="E39" t="s">
        <v>19</v>
      </c>
      <c r="F39" t="s">
        <v>14</v>
      </c>
      <c r="G39">
        <v>21</v>
      </c>
      <c r="H39" t="s">
        <v>15</v>
      </c>
      <c r="I39">
        <v>46</v>
      </c>
      <c r="J39" t="s">
        <v>20</v>
      </c>
      <c r="K39" t="s">
        <v>21</v>
      </c>
      <c r="L39">
        <v>17500</v>
      </c>
      <c r="M39">
        <f>#REF!-#REF!</f>
        <v>1</v>
      </c>
      <c r="N39" t="str">
        <f>TEXT(#REF!,"MMM")</f>
        <v>Feb</v>
      </c>
    </row>
    <row r="40" spans="1:14" x14ac:dyDescent="0.25">
      <c r="A40">
        <v>1039</v>
      </c>
      <c r="B40" s="1">
        <v>45697</v>
      </c>
      <c r="C40" s="1">
        <v>45697</v>
      </c>
      <c r="D40" t="s">
        <v>22</v>
      </c>
      <c r="E40" t="s">
        <v>23</v>
      </c>
      <c r="F40" t="s">
        <v>15</v>
      </c>
      <c r="G40">
        <v>16</v>
      </c>
      <c r="H40" t="s">
        <v>14</v>
      </c>
      <c r="I40">
        <v>32</v>
      </c>
      <c r="J40" t="s">
        <v>16</v>
      </c>
      <c r="K40" t="s">
        <v>24</v>
      </c>
      <c r="L40">
        <v>3100</v>
      </c>
      <c r="M40">
        <f>#REF!-#REF!</f>
        <v>0</v>
      </c>
      <c r="N40" t="str">
        <f>TEXT(#REF!,"MMM")</f>
        <v>Feb</v>
      </c>
    </row>
    <row r="41" spans="1:14" x14ac:dyDescent="0.25">
      <c r="A41">
        <v>1040</v>
      </c>
      <c r="B41" s="1">
        <v>45698</v>
      </c>
      <c r="C41" s="1">
        <v>45702</v>
      </c>
      <c r="D41" t="s">
        <v>25</v>
      </c>
      <c r="E41" t="s">
        <v>13</v>
      </c>
      <c r="F41" t="s">
        <v>14</v>
      </c>
      <c r="G41">
        <v>68</v>
      </c>
      <c r="H41" t="s">
        <v>15</v>
      </c>
      <c r="I41">
        <v>74</v>
      </c>
      <c r="J41" t="s">
        <v>20</v>
      </c>
      <c r="K41" t="s">
        <v>26</v>
      </c>
      <c r="L41">
        <v>56000</v>
      </c>
      <c r="M41">
        <f>#REF!-#REF!</f>
        <v>4</v>
      </c>
      <c r="N41" t="str">
        <f>TEXT(#REF!,"MMM")</f>
        <v>Feb</v>
      </c>
    </row>
    <row r="42" spans="1:14" x14ac:dyDescent="0.25">
      <c r="A42">
        <v>1041</v>
      </c>
      <c r="B42" s="1">
        <v>45699</v>
      </c>
      <c r="C42" s="1">
        <v>45699</v>
      </c>
      <c r="D42" t="s">
        <v>29</v>
      </c>
      <c r="E42" t="s">
        <v>23</v>
      </c>
      <c r="F42" t="s">
        <v>15</v>
      </c>
      <c r="G42">
        <v>9</v>
      </c>
      <c r="H42" t="s">
        <v>14</v>
      </c>
      <c r="I42">
        <v>28</v>
      </c>
      <c r="J42" t="s">
        <v>20</v>
      </c>
      <c r="K42" t="s">
        <v>30</v>
      </c>
      <c r="L42">
        <v>1950</v>
      </c>
      <c r="M42">
        <f>#REF!-#REF!</f>
        <v>0</v>
      </c>
      <c r="N42" t="str">
        <f>TEXT(#REF!,"MMM")</f>
        <v>Feb</v>
      </c>
    </row>
    <row r="43" spans="1:14" x14ac:dyDescent="0.25">
      <c r="A43">
        <v>1042</v>
      </c>
      <c r="B43" s="1">
        <v>45700</v>
      </c>
      <c r="C43" s="1">
        <v>45704</v>
      </c>
      <c r="D43" t="s">
        <v>33</v>
      </c>
      <c r="E43" t="s">
        <v>19</v>
      </c>
      <c r="F43" t="s">
        <v>14</v>
      </c>
      <c r="G43">
        <v>29</v>
      </c>
      <c r="H43" t="s">
        <v>15</v>
      </c>
      <c r="I43">
        <v>43</v>
      </c>
      <c r="J43" t="s">
        <v>20</v>
      </c>
      <c r="K43" t="s">
        <v>34</v>
      </c>
      <c r="L43">
        <v>24000</v>
      </c>
      <c r="M43">
        <f>#REF!-#REF!</f>
        <v>4</v>
      </c>
      <c r="N43" t="str">
        <f>TEXT(#REF!,"MMM")</f>
        <v>Feb</v>
      </c>
    </row>
    <row r="44" spans="1:14" x14ac:dyDescent="0.25">
      <c r="A44">
        <v>1043</v>
      </c>
      <c r="B44" s="1">
        <v>45701</v>
      </c>
      <c r="C44" s="1">
        <v>45701</v>
      </c>
      <c r="D44" t="s">
        <v>31</v>
      </c>
      <c r="E44" t="s">
        <v>23</v>
      </c>
      <c r="F44" t="s">
        <v>15</v>
      </c>
      <c r="G44">
        <v>18</v>
      </c>
      <c r="H44" t="s">
        <v>14</v>
      </c>
      <c r="I44">
        <v>36</v>
      </c>
      <c r="J44" t="s">
        <v>16</v>
      </c>
      <c r="K44" t="s">
        <v>32</v>
      </c>
      <c r="L44">
        <v>2050</v>
      </c>
      <c r="M44">
        <f>#REF!-#REF!</f>
        <v>0</v>
      </c>
      <c r="N44" t="str">
        <f>TEXT(#REF!,"MMM")</f>
        <v>Feb</v>
      </c>
    </row>
    <row r="45" spans="1:14" x14ac:dyDescent="0.25">
      <c r="A45">
        <v>1044</v>
      </c>
      <c r="B45" s="1">
        <v>45702</v>
      </c>
      <c r="C45" s="1">
        <v>45706</v>
      </c>
      <c r="D45" t="s">
        <v>27</v>
      </c>
      <c r="E45" t="s">
        <v>13</v>
      </c>
      <c r="F45" t="s">
        <v>14</v>
      </c>
      <c r="G45">
        <v>31</v>
      </c>
      <c r="H45" t="s">
        <v>15</v>
      </c>
      <c r="I45">
        <v>7</v>
      </c>
      <c r="J45" t="s">
        <v>20</v>
      </c>
      <c r="K45" t="s">
        <v>28</v>
      </c>
      <c r="L45">
        <v>13000</v>
      </c>
      <c r="M45">
        <f>#REF!-#REF!</f>
        <v>4</v>
      </c>
      <c r="N45" t="str">
        <f>TEXT(#REF!,"MMM")</f>
        <v>Feb</v>
      </c>
    </row>
    <row r="46" spans="1:14" x14ac:dyDescent="0.25">
      <c r="A46">
        <v>1045</v>
      </c>
      <c r="B46" s="1">
        <v>45703</v>
      </c>
      <c r="C46" s="1">
        <v>45707</v>
      </c>
      <c r="D46" t="s">
        <v>12</v>
      </c>
      <c r="E46" t="s">
        <v>19</v>
      </c>
      <c r="F46" t="s">
        <v>14</v>
      </c>
      <c r="G46">
        <v>43</v>
      </c>
      <c r="H46" t="s">
        <v>15</v>
      </c>
      <c r="I46">
        <v>63</v>
      </c>
      <c r="J46" t="s">
        <v>16</v>
      </c>
      <c r="K46" t="s">
        <v>17</v>
      </c>
      <c r="L46">
        <v>37000</v>
      </c>
      <c r="M46">
        <f>#REF!-#REF!</f>
        <v>4</v>
      </c>
      <c r="N46" t="str">
        <f>TEXT(#REF!,"MMM")</f>
        <v>Feb</v>
      </c>
    </row>
    <row r="47" spans="1:14" x14ac:dyDescent="0.25">
      <c r="A47">
        <v>1046</v>
      </c>
      <c r="B47" s="1">
        <v>45704</v>
      </c>
      <c r="C47" s="1">
        <v>45704</v>
      </c>
      <c r="D47" t="s">
        <v>22</v>
      </c>
      <c r="E47" t="s">
        <v>23</v>
      </c>
      <c r="F47" t="s">
        <v>15</v>
      </c>
      <c r="G47">
        <v>13</v>
      </c>
      <c r="H47" t="s">
        <v>14</v>
      </c>
      <c r="I47">
        <v>41</v>
      </c>
      <c r="J47" t="s">
        <v>20</v>
      </c>
      <c r="K47" t="s">
        <v>24</v>
      </c>
      <c r="L47">
        <v>3300</v>
      </c>
      <c r="M47">
        <f>#REF!-#REF!</f>
        <v>0</v>
      </c>
      <c r="N47" t="str">
        <f>TEXT(#REF!,"MMM")</f>
        <v>Feb</v>
      </c>
    </row>
    <row r="48" spans="1:14" x14ac:dyDescent="0.25">
      <c r="A48">
        <v>1047</v>
      </c>
      <c r="B48" s="1">
        <v>45705</v>
      </c>
      <c r="C48" s="1">
        <v>45709</v>
      </c>
      <c r="D48" t="s">
        <v>18</v>
      </c>
      <c r="E48" t="s">
        <v>13</v>
      </c>
      <c r="F48" t="s">
        <v>14</v>
      </c>
      <c r="G48">
        <v>59</v>
      </c>
      <c r="H48" t="s">
        <v>15</v>
      </c>
      <c r="I48">
        <v>55</v>
      </c>
      <c r="J48" t="s">
        <v>16</v>
      </c>
      <c r="K48" t="s">
        <v>21</v>
      </c>
      <c r="L48">
        <v>42000</v>
      </c>
      <c r="M48">
        <f>#REF!-#REF!</f>
        <v>4</v>
      </c>
      <c r="N48" t="str">
        <f>TEXT(#REF!,"MMM")</f>
        <v>Feb</v>
      </c>
    </row>
    <row r="49" spans="1:14" x14ac:dyDescent="0.25">
      <c r="A49">
        <v>1048</v>
      </c>
      <c r="B49" s="1">
        <v>45706</v>
      </c>
      <c r="C49" s="1">
        <v>45706</v>
      </c>
      <c r="D49" t="s">
        <v>29</v>
      </c>
      <c r="E49" t="s">
        <v>23</v>
      </c>
      <c r="F49" t="s">
        <v>15</v>
      </c>
      <c r="G49">
        <v>11</v>
      </c>
      <c r="H49" t="s">
        <v>14</v>
      </c>
      <c r="I49">
        <v>25</v>
      </c>
      <c r="J49" t="s">
        <v>16</v>
      </c>
      <c r="K49" t="s">
        <v>30</v>
      </c>
      <c r="L49">
        <v>2150</v>
      </c>
      <c r="M49">
        <f>#REF!-#REF!</f>
        <v>0</v>
      </c>
      <c r="N49" t="str">
        <f>TEXT(#REF!,"MMM")</f>
        <v>Feb</v>
      </c>
    </row>
    <row r="50" spans="1:14" x14ac:dyDescent="0.25">
      <c r="A50">
        <v>1049</v>
      </c>
      <c r="B50" s="1">
        <v>45707</v>
      </c>
      <c r="C50" s="1">
        <v>45711</v>
      </c>
      <c r="D50" t="s">
        <v>25</v>
      </c>
      <c r="E50" t="s">
        <v>19</v>
      </c>
      <c r="F50" t="s">
        <v>14</v>
      </c>
      <c r="G50">
        <v>37</v>
      </c>
      <c r="H50" t="s">
        <v>15</v>
      </c>
      <c r="I50">
        <v>68</v>
      </c>
      <c r="J50" t="s">
        <v>20</v>
      </c>
      <c r="K50" t="s">
        <v>26</v>
      </c>
      <c r="L50">
        <v>44500</v>
      </c>
      <c r="M50">
        <f>#REF!-#REF!</f>
        <v>4</v>
      </c>
      <c r="N50" t="str">
        <f>TEXT(#REF!,"MMM")</f>
        <v>Feb</v>
      </c>
    </row>
    <row r="51" spans="1:14" x14ac:dyDescent="0.25">
      <c r="A51">
        <v>1050</v>
      </c>
      <c r="B51" s="1">
        <v>45708</v>
      </c>
      <c r="C51" s="1">
        <v>45708</v>
      </c>
      <c r="D51" t="s">
        <v>31</v>
      </c>
      <c r="E51" t="s">
        <v>23</v>
      </c>
      <c r="F51" t="s">
        <v>15</v>
      </c>
      <c r="G51">
        <v>15</v>
      </c>
      <c r="H51" t="s">
        <v>14</v>
      </c>
      <c r="I51">
        <v>34</v>
      </c>
      <c r="J51" t="s">
        <v>20</v>
      </c>
      <c r="K51" t="s">
        <v>32</v>
      </c>
      <c r="L51">
        <v>2250</v>
      </c>
      <c r="M51">
        <f>#REF!-#REF!</f>
        <v>0</v>
      </c>
      <c r="N51" t="str">
        <f>TEXT(#REF!,"MMM")</f>
        <v>Feb</v>
      </c>
    </row>
    <row r="52" spans="1:14" x14ac:dyDescent="0.25">
      <c r="A52">
        <v>1051</v>
      </c>
      <c r="B52" s="1">
        <v>45709</v>
      </c>
      <c r="C52" s="1">
        <v>45712</v>
      </c>
      <c r="D52" t="s">
        <v>33</v>
      </c>
      <c r="E52" t="s">
        <v>13</v>
      </c>
      <c r="F52" t="s">
        <v>14</v>
      </c>
      <c r="G52">
        <v>49</v>
      </c>
      <c r="H52" t="s">
        <v>15</v>
      </c>
      <c r="I52">
        <v>39</v>
      </c>
      <c r="J52" t="s">
        <v>20</v>
      </c>
      <c r="K52" t="s">
        <v>34</v>
      </c>
      <c r="L52">
        <v>27500</v>
      </c>
      <c r="M52">
        <f>#REF!-#REF!</f>
        <v>3</v>
      </c>
      <c r="N52" t="str">
        <f>TEXT(#REF!,"MMM")</f>
        <v>Feb</v>
      </c>
    </row>
    <row r="53" spans="1:14" x14ac:dyDescent="0.25">
      <c r="A53">
        <v>1052</v>
      </c>
      <c r="B53" s="1">
        <v>45710</v>
      </c>
      <c r="C53" s="1">
        <v>45710</v>
      </c>
      <c r="D53" t="s">
        <v>27</v>
      </c>
      <c r="E53" t="s">
        <v>23</v>
      </c>
      <c r="F53" t="s">
        <v>15</v>
      </c>
      <c r="G53">
        <v>10</v>
      </c>
      <c r="H53" t="s">
        <v>14</v>
      </c>
      <c r="I53">
        <v>10</v>
      </c>
      <c r="J53" t="s">
        <v>16</v>
      </c>
      <c r="K53" t="s">
        <v>28</v>
      </c>
      <c r="L53">
        <v>2550</v>
      </c>
      <c r="M53">
        <f>#REF!-#REF!</f>
        <v>0</v>
      </c>
      <c r="N53" t="str">
        <f>TEXT(#REF!,"MMM")</f>
        <v>Feb</v>
      </c>
    </row>
    <row r="54" spans="1:14" x14ac:dyDescent="0.25">
      <c r="A54">
        <v>1053</v>
      </c>
      <c r="B54" s="1">
        <v>45711</v>
      </c>
      <c r="C54" s="1">
        <v>45715</v>
      </c>
      <c r="D54" t="s">
        <v>12</v>
      </c>
      <c r="E54" t="s">
        <v>13</v>
      </c>
      <c r="F54" t="s">
        <v>14</v>
      </c>
      <c r="G54">
        <v>52</v>
      </c>
      <c r="H54" t="s">
        <v>15</v>
      </c>
      <c r="I54">
        <v>59</v>
      </c>
      <c r="J54" t="s">
        <v>20</v>
      </c>
      <c r="K54" t="s">
        <v>17</v>
      </c>
      <c r="L54">
        <v>31500</v>
      </c>
      <c r="M54">
        <f>#REF!-#REF!</f>
        <v>4</v>
      </c>
      <c r="N54" t="str">
        <f>TEXT(#REF!,"MMM")</f>
        <v>Feb</v>
      </c>
    </row>
    <row r="55" spans="1:14" x14ac:dyDescent="0.25">
      <c r="A55">
        <v>1054</v>
      </c>
      <c r="B55" s="1">
        <v>45712</v>
      </c>
      <c r="C55" s="1">
        <v>45713</v>
      </c>
      <c r="D55" t="s">
        <v>18</v>
      </c>
      <c r="E55" t="s">
        <v>19</v>
      </c>
      <c r="F55" t="s">
        <v>14</v>
      </c>
      <c r="G55">
        <v>22</v>
      </c>
      <c r="H55" t="s">
        <v>15</v>
      </c>
      <c r="I55">
        <v>48</v>
      </c>
      <c r="J55" t="s">
        <v>16</v>
      </c>
      <c r="K55" t="s">
        <v>21</v>
      </c>
      <c r="L55">
        <v>17800</v>
      </c>
      <c r="M55">
        <f>#REF!-#REF!</f>
        <v>1</v>
      </c>
      <c r="N55" t="str">
        <f>TEXT(#REF!,"MMM")</f>
        <v>Feb</v>
      </c>
    </row>
    <row r="56" spans="1:14" x14ac:dyDescent="0.25">
      <c r="A56">
        <v>1055</v>
      </c>
      <c r="B56" s="1">
        <v>45713</v>
      </c>
      <c r="C56" s="1">
        <v>45713</v>
      </c>
      <c r="D56" t="s">
        <v>22</v>
      </c>
      <c r="E56" t="s">
        <v>23</v>
      </c>
      <c r="F56" t="s">
        <v>15</v>
      </c>
      <c r="G56">
        <v>14</v>
      </c>
      <c r="H56" t="s">
        <v>14</v>
      </c>
      <c r="I56">
        <v>30</v>
      </c>
      <c r="J56" t="s">
        <v>20</v>
      </c>
      <c r="K56" t="s">
        <v>24</v>
      </c>
      <c r="L56">
        <v>3050</v>
      </c>
      <c r="M56">
        <f>#REF!-#REF!</f>
        <v>0</v>
      </c>
      <c r="N56" t="str">
        <f>TEXT(#REF!,"MMM")</f>
        <v>Feb</v>
      </c>
    </row>
    <row r="57" spans="1:14" x14ac:dyDescent="0.25">
      <c r="A57">
        <v>1056</v>
      </c>
      <c r="B57" s="1">
        <v>45714</v>
      </c>
      <c r="C57" s="1">
        <v>45718</v>
      </c>
      <c r="D57" t="s">
        <v>25</v>
      </c>
      <c r="E57" t="s">
        <v>13</v>
      </c>
      <c r="F57" t="s">
        <v>14</v>
      </c>
      <c r="G57">
        <v>69</v>
      </c>
      <c r="H57" t="s">
        <v>15</v>
      </c>
      <c r="I57">
        <v>72</v>
      </c>
      <c r="J57" t="s">
        <v>16</v>
      </c>
      <c r="K57" t="s">
        <v>26</v>
      </c>
      <c r="L57">
        <v>57000</v>
      </c>
      <c r="M57">
        <f>#REF!-#REF!</f>
        <v>4</v>
      </c>
      <c r="N57" t="str">
        <f>TEXT(#REF!,"MMM")</f>
        <v>Feb</v>
      </c>
    </row>
    <row r="58" spans="1:14" x14ac:dyDescent="0.25">
      <c r="A58">
        <v>1057</v>
      </c>
      <c r="B58" s="1">
        <v>45715</v>
      </c>
      <c r="C58" s="1">
        <v>45715</v>
      </c>
      <c r="D58" t="s">
        <v>29</v>
      </c>
      <c r="E58" t="s">
        <v>23</v>
      </c>
      <c r="F58" t="s">
        <v>15</v>
      </c>
      <c r="G58">
        <v>8</v>
      </c>
      <c r="H58" t="s">
        <v>14</v>
      </c>
      <c r="I58">
        <v>29</v>
      </c>
      <c r="J58" t="s">
        <v>20</v>
      </c>
      <c r="K58" t="s">
        <v>30</v>
      </c>
      <c r="L58">
        <v>1980</v>
      </c>
      <c r="M58">
        <f>#REF!-#REF!</f>
        <v>0</v>
      </c>
      <c r="N58" t="str">
        <f>TEXT(#REF!,"MMM")</f>
        <v>Feb</v>
      </c>
    </row>
    <row r="59" spans="1:14" x14ac:dyDescent="0.25">
      <c r="A59">
        <v>1058</v>
      </c>
      <c r="B59" s="1">
        <v>45716</v>
      </c>
      <c r="C59" s="1">
        <v>45719</v>
      </c>
      <c r="D59" t="s">
        <v>33</v>
      </c>
      <c r="E59" t="s">
        <v>19</v>
      </c>
      <c r="F59" t="s">
        <v>14</v>
      </c>
      <c r="G59">
        <v>27</v>
      </c>
      <c r="H59" t="s">
        <v>15</v>
      </c>
      <c r="I59">
        <v>42</v>
      </c>
      <c r="J59" t="s">
        <v>20</v>
      </c>
      <c r="K59" t="s">
        <v>34</v>
      </c>
      <c r="L59">
        <v>23500</v>
      </c>
      <c r="M59">
        <f>#REF!-#REF!</f>
        <v>3</v>
      </c>
      <c r="N59" t="str">
        <f>TEXT(#REF!,"MMM")</f>
        <v>Feb</v>
      </c>
    </row>
    <row r="60" spans="1:14" x14ac:dyDescent="0.25">
      <c r="A60">
        <v>1059</v>
      </c>
      <c r="B60" s="1">
        <v>45717</v>
      </c>
      <c r="C60" s="1">
        <v>45717</v>
      </c>
      <c r="D60" t="s">
        <v>31</v>
      </c>
      <c r="E60" t="s">
        <v>23</v>
      </c>
      <c r="F60" t="s">
        <v>15</v>
      </c>
      <c r="G60">
        <v>17</v>
      </c>
      <c r="H60" t="s">
        <v>14</v>
      </c>
      <c r="I60">
        <v>38</v>
      </c>
      <c r="J60" t="s">
        <v>16</v>
      </c>
      <c r="K60" t="s">
        <v>32</v>
      </c>
      <c r="L60">
        <v>2100</v>
      </c>
      <c r="M60">
        <f>#REF!-#REF!</f>
        <v>0</v>
      </c>
      <c r="N60" t="str">
        <f>TEXT(#REF!,"MMM")</f>
        <v>Mar</v>
      </c>
    </row>
    <row r="61" spans="1:14" x14ac:dyDescent="0.25">
      <c r="A61">
        <v>1060</v>
      </c>
      <c r="B61" s="1">
        <v>45718</v>
      </c>
      <c r="C61" s="1">
        <v>45722</v>
      </c>
      <c r="D61" t="s">
        <v>27</v>
      </c>
      <c r="E61" t="s">
        <v>13</v>
      </c>
      <c r="F61" t="s">
        <v>14</v>
      </c>
      <c r="G61">
        <v>32</v>
      </c>
      <c r="H61" t="s">
        <v>15</v>
      </c>
      <c r="I61">
        <v>6</v>
      </c>
      <c r="J61" t="s">
        <v>20</v>
      </c>
      <c r="K61" t="s">
        <v>28</v>
      </c>
      <c r="L61">
        <v>13500</v>
      </c>
      <c r="M61">
        <f>#REF!-#REF!</f>
        <v>4</v>
      </c>
      <c r="N61" t="str">
        <f>TEXT(#REF!,"MMM")</f>
        <v>Mar</v>
      </c>
    </row>
    <row r="62" spans="1:14" x14ac:dyDescent="0.25">
      <c r="A62">
        <v>1061</v>
      </c>
      <c r="B62" s="1">
        <v>45719</v>
      </c>
      <c r="C62" s="1">
        <v>45723</v>
      </c>
      <c r="D62" t="s">
        <v>12</v>
      </c>
      <c r="E62" t="s">
        <v>19</v>
      </c>
      <c r="F62" t="s">
        <v>14</v>
      </c>
      <c r="G62">
        <v>44</v>
      </c>
      <c r="H62" t="s">
        <v>15</v>
      </c>
      <c r="I62">
        <v>64</v>
      </c>
      <c r="J62" t="s">
        <v>16</v>
      </c>
      <c r="K62" t="s">
        <v>17</v>
      </c>
      <c r="L62">
        <v>38000</v>
      </c>
      <c r="M62">
        <f>#REF!-#REF!</f>
        <v>4</v>
      </c>
      <c r="N62" t="str">
        <f>TEXT(#REF!,"MMM")</f>
        <v>Mar</v>
      </c>
    </row>
    <row r="63" spans="1:14" x14ac:dyDescent="0.25">
      <c r="A63">
        <v>1062</v>
      </c>
      <c r="B63" s="1">
        <v>45720</v>
      </c>
      <c r="C63" s="1">
        <v>45720</v>
      </c>
      <c r="D63" t="s">
        <v>22</v>
      </c>
      <c r="E63" t="s">
        <v>23</v>
      </c>
      <c r="F63" t="s">
        <v>15</v>
      </c>
      <c r="G63">
        <v>12</v>
      </c>
      <c r="H63" t="s">
        <v>14</v>
      </c>
      <c r="I63">
        <v>43</v>
      </c>
      <c r="J63" t="s">
        <v>20</v>
      </c>
      <c r="K63" t="s">
        <v>24</v>
      </c>
      <c r="L63">
        <v>3250</v>
      </c>
      <c r="M63">
        <f>#REF!-#REF!</f>
        <v>0</v>
      </c>
      <c r="N63" t="str">
        <f>TEXT(#REF!,"MMM")</f>
        <v>Mar</v>
      </c>
    </row>
    <row r="64" spans="1:14" x14ac:dyDescent="0.25">
      <c r="A64">
        <v>1063</v>
      </c>
      <c r="B64" s="1">
        <v>45721</v>
      </c>
      <c r="C64" s="1">
        <v>45725</v>
      </c>
      <c r="D64" t="s">
        <v>18</v>
      </c>
      <c r="E64" t="s">
        <v>13</v>
      </c>
      <c r="F64" t="s">
        <v>14</v>
      </c>
      <c r="G64">
        <v>61</v>
      </c>
      <c r="H64" t="s">
        <v>15</v>
      </c>
      <c r="I64">
        <v>56</v>
      </c>
      <c r="J64" t="s">
        <v>16</v>
      </c>
      <c r="K64" t="s">
        <v>21</v>
      </c>
      <c r="L64">
        <v>43000</v>
      </c>
      <c r="M64">
        <f>#REF!-#REF!</f>
        <v>4</v>
      </c>
      <c r="N64" t="str">
        <f>TEXT(#REF!,"MMM")</f>
        <v>Mar</v>
      </c>
    </row>
    <row r="65" spans="1:14" x14ac:dyDescent="0.25">
      <c r="A65">
        <v>1064</v>
      </c>
      <c r="B65" s="1">
        <v>45722</v>
      </c>
      <c r="C65" s="1">
        <v>45722</v>
      </c>
      <c r="D65" t="s">
        <v>29</v>
      </c>
      <c r="E65" t="s">
        <v>23</v>
      </c>
      <c r="F65" t="s">
        <v>15</v>
      </c>
      <c r="G65">
        <v>9</v>
      </c>
      <c r="H65" t="s">
        <v>14</v>
      </c>
      <c r="I65">
        <v>27</v>
      </c>
      <c r="J65" t="s">
        <v>20</v>
      </c>
      <c r="K65" t="s">
        <v>30</v>
      </c>
      <c r="L65">
        <v>2200</v>
      </c>
      <c r="M65">
        <f>#REF!-#REF!</f>
        <v>0</v>
      </c>
      <c r="N65" t="str">
        <f>TEXT(#REF!,"MMM")</f>
        <v>Mar</v>
      </c>
    </row>
    <row r="66" spans="1:14" x14ac:dyDescent="0.25">
      <c r="A66">
        <v>1065</v>
      </c>
      <c r="B66" s="1">
        <v>45723</v>
      </c>
      <c r="C66" s="1">
        <v>45727</v>
      </c>
      <c r="D66" t="s">
        <v>25</v>
      </c>
      <c r="E66" t="s">
        <v>19</v>
      </c>
      <c r="F66" t="s">
        <v>14</v>
      </c>
      <c r="G66">
        <v>38</v>
      </c>
      <c r="H66" t="s">
        <v>15</v>
      </c>
      <c r="I66">
        <v>69</v>
      </c>
      <c r="J66" t="s">
        <v>20</v>
      </c>
      <c r="K66" t="s">
        <v>26</v>
      </c>
      <c r="L66">
        <v>45500</v>
      </c>
      <c r="M66">
        <f>#REF!-#REF!</f>
        <v>4</v>
      </c>
      <c r="N66" t="str">
        <f>TEXT(#REF!,"MMM")</f>
        <v>Mar</v>
      </c>
    </row>
    <row r="67" spans="1:14" x14ac:dyDescent="0.25">
      <c r="A67">
        <v>1066</v>
      </c>
      <c r="B67" s="1">
        <v>45724</v>
      </c>
      <c r="C67" s="1">
        <v>45724</v>
      </c>
      <c r="D67" t="s">
        <v>31</v>
      </c>
      <c r="E67" t="s">
        <v>23</v>
      </c>
      <c r="F67" t="s">
        <v>15</v>
      </c>
      <c r="G67">
        <v>16</v>
      </c>
      <c r="H67" t="s">
        <v>14</v>
      </c>
      <c r="I67">
        <v>33</v>
      </c>
      <c r="J67" t="s">
        <v>16</v>
      </c>
      <c r="K67" t="s">
        <v>32</v>
      </c>
      <c r="L67">
        <v>2150</v>
      </c>
      <c r="M67">
        <f>#REF!-#REF!</f>
        <v>0</v>
      </c>
      <c r="N67" t="str">
        <f>TEXT(#REF!,"MMM")</f>
        <v>Mar</v>
      </c>
    </row>
    <row r="68" spans="1:14" x14ac:dyDescent="0.25">
      <c r="A68">
        <v>1067</v>
      </c>
      <c r="B68" s="1">
        <v>45725</v>
      </c>
      <c r="C68" s="1">
        <v>45729</v>
      </c>
      <c r="D68" t="s">
        <v>33</v>
      </c>
      <c r="E68" t="s">
        <v>13</v>
      </c>
      <c r="F68" t="s">
        <v>14</v>
      </c>
      <c r="G68">
        <v>46</v>
      </c>
      <c r="H68" t="s">
        <v>15</v>
      </c>
      <c r="I68">
        <v>37</v>
      </c>
      <c r="J68" t="s">
        <v>20</v>
      </c>
      <c r="K68" t="s">
        <v>34</v>
      </c>
      <c r="L68">
        <v>26800</v>
      </c>
      <c r="M68">
        <f>#REF!-#REF!</f>
        <v>4</v>
      </c>
      <c r="N68" t="str">
        <f>TEXT(#REF!,"MMM")</f>
        <v>Mar</v>
      </c>
    </row>
    <row r="69" spans="1:14" x14ac:dyDescent="0.25">
      <c r="A69">
        <v>1068</v>
      </c>
      <c r="B69" s="1">
        <v>45726</v>
      </c>
      <c r="C69" s="1">
        <v>45726</v>
      </c>
      <c r="D69" t="s">
        <v>27</v>
      </c>
      <c r="E69" t="s">
        <v>23</v>
      </c>
      <c r="F69" t="s">
        <v>15</v>
      </c>
      <c r="G69">
        <v>11</v>
      </c>
      <c r="H69" t="s">
        <v>14</v>
      </c>
      <c r="I69">
        <v>13</v>
      </c>
      <c r="J69" t="s">
        <v>16</v>
      </c>
      <c r="K69" t="s">
        <v>28</v>
      </c>
      <c r="L69">
        <v>2600</v>
      </c>
      <c r="M69">
        <f>#REF!-#REF!</f>
        <v>0</v>
      </c>
      <c r="N69" t="str">
        <f>TEXT(#REF!,"MMM")</f>
        <v>Mar</v>
      </c>
    </row>
    <row r="70" spans="1:14" x14ac:dyDescent="0.25">
      <c r="A70">
        <v>1069</v>
      </c>
      <c r="B70" s="1">
        <v>45727</v>
      </c>
      <c r="C70" s="1">
        <v>45731</v>
      </c>
      <c r="D70" t="s">
        <v>12</v>
      </c>
      <c r="E70" t="s">
        <v>13</v>
      </c>
      <c r="F70" t="s">
        <v>14</v>
      </c>
      <c r="G70">
        <v>53</v>
      </c>
      <c r="H70" t="s">
        <v>15</v>
      </c>
      <c r="I70">
        <v>60</v>
      </c>
      <c r="J70" t="s">
        <v>20</v>
      </c>
      <c r="K70" t="s">
        <v>17</v>
      </c>
      <c r="L70">
        <v>32000</v>
      </c>
      <c r="M70">
        <f>#REF!-#REF!</f>
        <v>4</v>
      </c>
      <c r="N70" t="str">
        <f>TEXT(#REF!,"MMM")</f>
        <v>Mar</v>
      </c>
    </row>
    <row r="71" spans="1:14" x14ac:dyDescent="0.25">
      <c r="A71">
        <v>1070</v>
      </c>
      <c r="B71" s="1">
        <v>45728</v>
      </c>
      <c r="C71" s="1">
        <v>45729</v>
      </c>
      <c r="D71" t="s">
        <v>18</v>
      </c>
      <c r="E71" t="s">
        <v>19</v>
      </c>
      <c r="F71" t="s">
        <v>14</v>
      </c>
      <c r="G71">
        <v>20</v>
      </c>
      <c r="H71" t="s">
        <v>15</v>
      </c>
      <c r="I71">
        <v>45</v>
      </c>
      <c r="J71" t="s">
        <v>16</v>
      </c>
      <c r="K71" t="s">
        <v>21</v>
      </c>
      <c r="L71">
        <v>18200</v>
      </c>
      <c r="M71">
        <f>#REF!-#REF!</f>
        <v>1</v>
      </c>
      <c r="N71" t="str">
        <f>TEXT(#REF!,"MMM")</f>
        <v>Mar</v>
      </c>
    </row>
    <row r="72" spans="1:14" x14ac:dyDescent="0.25">
      <c r="A72">
        <v>1071</v>
      </c>
      <c r="B72" s="1">
        <v>45729</v>
      </c>
      <c r="C72" s="1">
        <v>45729</v>
      </c>
      <c r="D72" t="s">
        <v>22</v>
      </c>
      <c r="E72" t="s">
        <v>23</v>
      </c>
      <c r="F72" t="s">
        <v>15</v>
      </c>
      <c r="G72">
        <v>13</v>
      </c>
      <c r="H72" t="s">
        <v>14</v>
      </c>
      <c r="I72">
        <v>31</v>
      </c>
      <c r="J72" t="s">
        <v>20</v>
      </c>
      <c r="K72" t="s">
        <v>24</v>
      </c>
      <c r="L72">
        <v>3150</v>
      </c>
      <c r="M72">
        <f>#REF!-#REF!</f>
        <v>0</v>
      </c>
      <c r="N72" t="str">
        <f>TEXT(#REF!,"MMM")</f>
        <v>Mar</v>
      </c>
    </row>
    <row r="73" spans="1:14" x14ac:dyDescent="0.25">
      <c r="A73">
        <v>1072</v>
      </c>
      <c r="B73" s="1">
        <v>45730</v>
      </c>
      <c r="C73" s="1">
        <v>45734</v>
      </c>
      <c r="D73" t="s">
        <v>25</v>
      </c>
      <c r="E73" t="s">
        <v>13</v>
      </c>
      <c r="F73" t="s">
        <v>14</v>
      </c>
      <c r="G73">
        <v>67</v>
      </c>
      <c r="H73" t="s">
        <v>15</v>
      </c>
      <c r="I73">
        <v>75</v>
      </c>
      <c r="J73" t="s">
        <v>16</v>
      </c>
      <c r="K73" t="s">
        <v>26</v>
      </c>
      <c r="L73">
        <v>58000</v>
      </c>
      <c r="M73">
        <f>#REF!-#REF!</f>
        <v>4</v>
      </c>
      <c r="N73" t="str">
        <f>TEXT(#REF!,"MMM")</f>
        <v>Mar</v>
      </c>
    </row>
    <row r="74" spans="1:14" x14ac:dyDescent="0.25">
      <c r="A74">
        <v>1073</v>
      </c>
      <c r="B74" s="1">
        <v>45731</v>
      </c>
      <c r="C74" s="1">
        <v>45731</v>
      </c>
      <c r="D74" t="s">
        <v>29</v>
      </c>
      <c r="E74" t="s">
        <v>23</v>
      </c>
      <c r="F74" t="s">
        <v>15</v>
      </c>
      <c r="G74">
        <v>10</v>
      </c>
      <c r="H74" t="s">
        <v>14</v>
      </c>
      <c r="I74">
        <v>26</v>
      </c>
      <c r="J74" t="s">
        <v>20</v>
      </c>
      <c r="K74" t="s">
        <v>30</v>
      </c>
      <c r="L74">
        <v>2050</v>
      </c>
      <c r="M74">
        <f>#REF!-#REF!</f>
        <v>0</v>
      </c>
      <c r="N74" t="str">
        <f>TEXT(#REF!,"MMM")</f>
        <v>Mar</v>
      </c>
    </row>
    <row r="75" spans="1:14" x14ac:dyDescent="0.25">
      <c r="A75">
        <v>1074</v>
      </c>
      <c r="B75" s="1">
        <v>45732</v>
      </c>
      <c r="C75" s="1">
        <v>45736</v>
      </c>
      <c r="D75" t="s">
        <v>33</v>
      </c>
      <c r="E75" t="s">
        <v>19</v>
      </c>
      <c r="F75" t="s">
        <v>14</v>
      </c>
      <c r="G75">
        <v>28</v>
      </c>
      <c r="H75" t="s">
        <v>15</v>
      </c>
      <c r="I75">
        <v>44</v>
      </c>
      <c r="J75" t="s">
        <v>20</v>
      </c>
      <c r="K75" t="s">
        <v>34</v>
      </c>
      <c r="L75">
        <v>24500</v>
      </c>
      <c r="M75">
        <f>#REF!-#REF!</f>
        <v>4</v>
      </c>
      <c r="N75" t="str">
        <f>TEXT(#REF!,"MMM")</f>
        <v>Mar</v>
      </c>
    </row>
    <row r="76" spans="1:14" x14ac:dyDescent="0.25">
      <c r="A76">
        <v>1075</v>
      </c>
      <c r="B76" s="1">
        <v>45733</v>
      </c>
      <c r="C76" s="1">
        <v>45733</v>
      </c>
      <c r="D76" t="s">
        <v>31</v>
      </c>
      <c r="E76" t="s">
        <v>23</v>
      </c>
      <c r="F76" t="s">
        <v>15</v>
      </c>
      <c r="G76">
        <v>18</v>
      </c>
      <c r="H76" t="s">
        <v>14</v>
      </c>
      <c r="I76">
        <v>35</v>
      </c>
      <c r="J76" t="s">
        <v>16</v>
      </c>
      <c r="K76" t="s">
        <v>32</v>
      </c>
      <c r="L76">
        <v>2200</v>
      </c>
      <c r="M76">
        <f>#REF!-#REF!</f>
        <v>0</v>
      </c>
      <c r="N76" t="str">
        <f>TEXT(#REF!,"MMM")</f>
        <v>Mar</v>
      </c>
    </row>
    <row r="77" spans="1:14" x14ac:dyDescent="0.25">
      <c r="A77">
        <v>1076</v>
      </c>
      <c r="B77" s="1">
        <v>45734</v>
      </c>
      <c r="C77" s="1">
        <v>45738</v>
      </c>
      <c r="D77" t="s">
        <v>27</v>
      </c>
      <c r="E77" t="s">
        <v>13</v>
      </c>
      <c r="F77" t="s">
        <v>14</v>
      </c>
      <c r="G77">
        <v>34</v>
      </c>
      <c r="H77" t="s">
        <v>15</v>
      </c>
      <c r="I77">
        <v>8</v>
      </c>
      <c r="J77" t="s">
        <v>20</v>
      </c>
      <c r="K77" t="s">
        <v>28</v>
      </c>
      <c r="L77">
        <v>14000</v>
      </c>
      <c r="M77">
        <f>#REF!-#REF!</f>
        <v>4</v>
      </c>
      <c r="N77" t="str">
        <f>TEXT(#REF!,"MMM")</f>
        <v>Mar</v>
      </c>
    </row>
    <row r="78" spans="1:14" x14ac:dyDescent="0.25">
      <c r="A78">
        <v>1077</v>
      </c>
      <c r="B78" s="1">
        <v>45735</v>
      </c>
      <c r="C78" s="1">
        <v>45739</v>
      </c>
      <c r="D78" t="s">
        <v>12</v>
      </c>
      <c r="E78" t="s">
        <v>19</v>
      </c>
      <c r="F78" t="s">
        <v>14</v>
      </c>
      <c r="G78">
        <v>41</v>
      </c>
      <c r="H78" t="s">
        <v>15</v>
      </c>
      <c r="I78">
        <v>65</v>
      </c>
      <c r="J78" t="s">
        <v>16</v>
      </c>
      <c r="K78" t="s">
        <v>17</v>
      </c>
      <c r="L78">
        <v>38500</v>
      </c>
      <c r="M78">
        <f>#REF!-#REF!</f>
        <v>4</v>
      </c>
      <c r="N78" t="str">
        <f>TEXT(#REF!,"MMM")</f>
        <v>Mar</v>
      </c>
    </row>
    <row r="79" spans="1:14" x14ac:dyDescent="0.25">
      <c r="A79">
        <v>1078</v>
      </c>
      <c r="B79" s="1">
        <v>45736</v>
      </c>
      <c r="C79" s="1">
        <v>45736</v>
      </c>
      <c r="D79" t="s">
        <v>22</v>
      </c>
      <c r="E79" t="s">
        <v>23</v>
      </c>
      <c r="F79" t="s">
        <v>15</v>
      </c>
      <c r="G79">
        <v>14</v>
      </c>
      <c r="H79" t="s">
        <v>14</v>
      </c>
      <c r="I79">
        <v>40</v>
      </c>
      <c r="J79" t="s">
        <v>20</v>
      </c>
      <c r="K79" t="s">
        <v>24</v>
      </c>
      <c r="L79">
        <v>3350</v>
      </c>
      <c r="M79">
        <f>#REF!-#REF!</f>
        <v>0</v>
      </c>
      <c r="N79" t="str">
        <f>TEXT(#REF!,"MMM")</f>
        <v>Mar</v>
      </c>
    </row>
    <row r="80" spans="1:14" x14ac:dyDescent="0.25">
      <c r="A80">
        <v>1079</v>
      </c>
      <c r="B80" s="1">
        <v>45737</v>
      </c>
      <c r="C80" s="1">
        <v>45741</v>
      </c>
      <c r="D80" t="s">
        <v>18</v>
      </c>
      <c r="E80" t="s">
        <v>13</v>
      </c>
      <c r="F80" t="s">
        <v>14</v>
      </c>
      <c r="G80">
        <v>62</v>
      </c>
      <c r="H80" t="s">
        <v>15</v>
      </c>
      <c r="I80">
        <v>57</v>
      </c>
      <c r="J80" t="s">
        <v>16</v>
      </c>
      <c r="K80" t="s">
        <v>21</v>
      </c>
      <c r="L80">
        <v>44000</v>
      </c>
      <c r="M80">
        <f>#REF!-#REF!</f>
        <v>4</v>
      </c>
      <c r="N80" t="str">
        <f>TEXT(#REF!,"MMM")</f>
        <v>Mar</v>
      </c>
    </row>
    <row r="81" spans="1:14" x14ac:dyDescent="0.25">
      <c r="A81">
        <v>1080</v>
      </c>
      <c r="B81" s="1">
        <v>45738</v>
      </c>
      <c r="C81" s="1">
        <v>45738</v>
      </c>
      <c r="D81" t="s">
        <v>29</v>
      </c>
      <c r="E81" t="s">
        <v>23</v>
      </c>
      <c r="F81" t="s">
        <v>15</v>
      </c>
      <c r="G81">
        <v>9</v>
      </c>
      <c r="H81" t="s">
        <v>14</v>
      </c>
      <c r="I81">
        <v>24</v>
      </c>
      <c r="J81" t="s">
        <v>20</v>
      </c>
      <c r="K81" t="s">
        <v>30</v>
      </c>
      <c r="L81">
        <v>2100</v>
      </c>
      <c r="M81">
        <f>#REF!-#REF!</f>
        <v>0</v>
      </c>
      <c r="N81" t="str">
        <f>TEXT(#REF!,"MMM")</f>
        <v>Mar</v>
      </c>
    </row>
    <row r="82" spans="1:14" x14ac:dyDescent="0.25">
      <c r="A82">
        <v>1081</v>
      </c>
      <c r="B82" s="1">
        <v>45739</v>
      </c>
      <c r="C82" s="1">
        <v>45743</v>
      </c>
      <c r="D82" t="s">
        <v>25</v>
      </c>
      <c r="E82" t="s">
        <v>19</v>
      </c>
      <c r="F82" t="s">
        <v>14</v>
      </c>
      <c r="G82">
        <v>39</v>
      </c>
      <c r="H82" t="s">
        <v>15</v>
      </c>
      <c r="I82">
        <v>70</v>
      </c>
      <c r="J82" t="s">
        <v>20</v>
      </c>
      <c r="K82" t="s">
        <v>26</v>
      </c>
      <c r="L82">
        <v>46000</v>
      </c>
      <c r="M82">
        <f>#REF!-#REF!</f>
        <v>4</v>
      </c>
      <c r="N82" t="str">
        <f>TEXT(#REF!,"MMM")</f>
        <v>Mar</v>
      </c>
    </row>
    <row r="83" spans="1:14" x14ac:dyDescent="0.25">
      <c r="A83">
        <v>1082</v>
      </c>
      <c r="B83" s="1">
        <v>45740</v>
      </c>
      <c r="C83" s="1">
        <v>45740</v>
      </c>
      <c r="D83" t="s">
        <v>31</v>
      </c>
      <c r="E83" t="s">
        <v>23</v>
      </c>
      <c r="F83" t="s">
        <v>15</v>
      </c>
      <c r="G83">
        <v>15</v>
      </c>
      <c r="H83" t="s">
        <v>14</v>
      </c>
      <c r="I83">
        <v>32</v>
      </c>
      <c r="J83" t="s">
        <v>16</v>
      </c>
      <c r="K83" t="s">
        <v>32</v>
      </c>
      <c r="L83">
        <v>2250</v>
      </c>
      <c r="M83">
        <f>#REF!-#REF!</f>
        <v>0</v>
      </c>
      <c r="N83" t="str">
        <f>TEXT(#REF!,"MMM")</f>
        <v>Mar</v>
      </c>
    </row>
    <row r="84" spans="1:14" x14ac:dyDescent="0.25">
      <c r="A84">
        <v>1083</v>
      </c>
      <c r="B84" s="1">
        <v>45741</v>
      </c>
      <c r="C84" s="1">
        <v>45745</v>
      </c>
      <c r="D84" t="s">
        <v>33</v>
      </c>
      <c r="E84" t="s">
        <v>13</v>
      </c>
      <c r="F84" t="s">
        <v>14</v>
      </c>
      <c r="G84">
        <v>48</v>
      </c>
      <c r="H84" t="s">
        <v>15</v>
      </c>
      <c r="I84">
        <v>36</v>
      </c>
      <c r="J84" t="s">
        <v>20</v>
      </c>
      <c r="K84" t="s">
        <v>34</v>
      </c>
      <c r="L84">
        <v>27200</v>
      </c>
      <c r="M84">
        <f>#REF!-#REF!</f>
        <v>4</v>
      </c>
      <c r="N84" t="str">
        <f>TEXT(#REF!,"MMM")</f>
        <v>Mar</v>
      </c>
    </row>
    <row r="85" spans="1:14" x14ac:dyDescent="0.25">
      <c r="A85">
        <v>1084</v>
      </c>
      <c r="B85" s="1">
        <v>45742</v>
      </c>
      <c r="C85" s="1">
        <v>45742</v>
      </c>
      <c r="D85" t="s">
        <v>27</v>
      </c>
      <c r="E85" t="s">
        <v>23</v>
      </c>
      <c r="F85" t="s">
        <v>15</v>
      </c>
      <c r="G85">
        <v>12</v>
      </c>
      <c r="H85" t="s">
        <v>14</v>
      </c>
      <c r="I85">
        <v>9</v>
      </c>
      <c r="J85" t="s">
        <v>16</v>
      </c>
      <c r="K85" t="s">
        <v>28</v>
      </c>
      <c r="L85">
        <v>2650</v>
      </c>
      <c r="M85">
        <f>#REF!-#REF!</f>
        <v>0</v>
      </c>
      <c r="N85" t="str">
        <f>TEXT(#REF!,"MMM")</f>
        <v>Mar</v>
      </c>
    </row>
    <row r="86" spans="1:14" x14ac:dyDescent="0.25">
      <c r="A86">
        <v>1085</v>
      </c>
      <c r="B86" s="1">
        <v>45743</v>
      </c>
      <c r="C86" s="1">
        <v>45747</v>
      </c>
      <c r="D86" t="s">
        <v>12</v>
      </c>
      <c r="E86" t="s">
        <v>13</v>
      </c>
      <c r="F86" t="s">
        <v>14</v>
      </c>
      <c r="G86">
        <v>54</v>
      </c>
      <c r="H86" t="s">
        <v>15</v>
      </c>
      <c r="I86">
        <v>58</v>
      </c>
      <c r="J86" t="s">
        <v>20</v>
      </c>
      <c r="K86" t="s">
        <v>17</v>
      </c>
      <c r="L86">
        <v>32500</v>
      </c>
      <c r="M86">
        <f>#REF!-#REF!</f>
        <v>4</v>
      </c>
      <c r="N86" t="str">
        <f>TEXT(#REF!,"MMM")</f>
        <v>Mar</v>
      </c>
    </row>
    <row r="87" spans="1:14" x14ac:dyDescent="0.25">
      <c r="A87">
        <v>1086</v>
      </c>
      <c r="B87" s="1">
        <v>45744</v>
      </c>
      <c r="C87" s="1">
        <v>45745</v>
      </c>
      <c r="D87" t="s">
        <v>18</v>
      </c>
      <c r="E87" t="s">
        <v>19</v>
      </c>
      <c r="F87" t="s">
        <v>14</v>
      </c>
      <c r="G87">
        <v>21</v>
      </c>
      <c r="H87" t="s">
        <v>15</v>
      </c>
      <c r="I87">
        <v>46</v>
      </c>
      <c r="J87" t="s">
        <v>16</v>
      </c>
      <c r="K87" t="s">
        <v>21</v>
      </c>
      <c r="L87">
        <v>18500</v>
      </c>
      <c r="M87">
        <f>#REF!-#REF!</f>
        <v>1</v>
      </c>
      <c r="N87" t="str">
        <f>TEXT(#REF!,"MMM")</f>
        <v>Mar</v>
      </c>
    </row>
    <row r="88" spans="1:14" x14ac:dyDescent="0.25">
      <c r="A88">
        <v>1087</v>
      </c>
      <c r="B88" s="1">
        <v>45745</v>
      </c>
      <c r="C88" s="1">
        <v>45745</v>
      </c>
      <c r="D88" t="s">
        <v>22</v>
      </c>
      <c r="E88" t="s">
        <v>23</v>
      </c>
      <c r="F88" t="s">
        <v>15</v>
      </c>
      <c r="G88">
        <v>13</v>
      </c>
      <c r="H88" t="s">
        <v>14</v>
      </c>
      <c r="I88">
        <v>34</v>
      </c>
      <c r="J88" t="s">
        <v>20</v>
      </c>
      <c r="K88" t="s">
        <v>24</v>
      </c>
      <c r="L88">
        <v>3200</v>
      </c>
      <c r="M88">
        <f>#REF!-#REF!</f>
        <v>0</v>
      </c>
      <c r="N88" t="str">
        <f>TEXT(#REF!,"MMM")</f>
        <v>Mar</v>
      </c>
    </row>
    <row r="89" spans="1:14" x14ac:dyDescent="0.25">
      <c r="A89">
        <v>1088</v>
      </c>
      <c r="B89" s="1">
        <v>45746</v>
      </c>
      <c r="C89" s="1">
        <v>45750</v>
      </c>
      <c r="D89" t="s">
        <v>25</v>
      </c>
      <c r="E89" t="s">
        <v>13</v>
      </c>
      <c r="F89" t="s">
        <v>14</v>
      </c>
      <c r="G89">
        <v>66</v>
      </c>
      <c r="H89" t="s">
        <v>15</v>
      </c>
      <c r="I89">
        <v>73</v>
      </c>
      <c r="J89" t="s">
        <v>16</v>
      </c>
      <c r="K89" t="s">
        <v>26</v>
      </c>
      <c r="L89">
        <v>59000</v>
      </c>
      <c r="M89">
        <f>#REF!-#REF!</f>
        <v>4</v>
      </c>
      <c r="N89" t="str">
        <f>TEXT(#REF!,"MMM")</f>
        <v>Mar</v>
      </c>
    </row>
    <row r="90" spans="1:14" x14ac:dyDescent="0.25">
      <c r="A90">
        <v>1089</v>
      </c>
      <c r="B90" s="1">
        <v>45747</v>
      </c>
      <c r="C90" s="1">
        <v>45747</v>
      </c>
      <c r="D90" t="s">
        <v>29</v>
      </c>
      <c r="E90" t="s">
        <v>23</v>
      </c>
      <c r="F90" t="s">
        <v>15</v>
      </c>
      <c r="G90">
        <v>8</v>
      </c>
      <c r="H90" t="s">
        <v>14</v>
      </c>
      <c r="I90">
        <v>28</v>
      </c>
      <c r="J90" t="s">
        <v>20</v>
      </c>
      <c r="K90" t="s">
        <v>30</v>
      </c>
      <c r="L90">
        <v>2150</v>
      </c>
      <c r="M90">
        <f>#REF!-#REF!</f>
        <v>0</v>
      </c>
      <c r="N90" t="str">
        <f>TEXT(#REF!,"MMM")</f>
        <v>Mar</v>
      </c>
    </row>
    <row r="91" spans="1:14" x14ac:dyDescent="0.25">
      <c r="A91">
        <v>1090</v>
      </c>
      <c r="B91" s="1">
        <v>45748</v>
      </c>
      <c r="C91" s="1">
        <v>45752</v>
      </c>
      <c r="D91" t="s">
        <v>33</v>
      </c>
      <c r="E91" t="s">
        <v>19</v>
      </c>
      <c r="F91" t="s">
        <v>14</v>
      </c>
      <c r="G91">
        <v>27</v>
      </c>
      <c r="H91" t="s">
        <v>15</v>
      </c>
      <c r="I91">
        <v>41</v>
      </c>
      <c r="J91" t="s">
        <v>20</v>
      </c>
      <c r="K91" t="s">
        <v>34</v>
      </c>
      <c r="L91">
        <v>23800</v>
      </c>
      <c r="M91">
        <f>#REF!-#REF!</f>
        <v>4</v>
      </c>
      <c r="N91" t="str">
        <f>TEXT(#REF!,"MMM")</f>
        <v>Apr</v>
      </c>
    </row>
    <row r="92" spans="1:14" x14ac:dyDescent="0.25">
      <c r="A92">
        <v>1091</v>
      </c>
      <c r="B92" s="1">
        <v>45749</v>
      </c>
      <c r="C92" s="1">
        <v>45749</v>
      </c>
      <c r="D92" t="s">
        <v>31</v>
      </c>
      <c r="E92" t="s">
        <v>23</v>
      </c>
      <c r="F92" t="s">
        <v>15</v>
      </c>
      <c r="G92">
        <v>17</v>
      </c>
      <c r="H92" t="s">
        <v>14</v>
      </c>
      <c r="I92">
        <v>37</v>
      </c>
      <c r="J92" t="s">
        <v>16</v>
      </c>
      <c r="K92" t="s">
        <v>32</v>
      </c>
      <c r="L92">
        <v>2180</v>
      </c>
      <c r="M92">
        <f>#REF!-#REF!</f>
        <v>0</v>
      </c>
      <c r="N92" t="str">
        <f>TEXT(#REF!,"MMM")</f>
        <v>Apr</v>
      </c>
    </row>
    <row r="93" spans="1:14" x14ac:dyDescent="0.25">
      <c r="A93">
        <v>1092</v>
      </c>
      <c r="B93" s="1">
        <v>45750</v>
      </c>
      <c r="C93" s="1">
        <v>45754</v>
      </c>
      <c r="D93" t="s">
        <v>27</v>
      </c>
      <c r="E93" t="s">
        <v>13</v>
      </c>
      <c r="F93" t="s">
        <v>14</v>
      </c>
      <c r="G93">
        <v>33</v>
      </c>
      <c r="H93" t="s">
        <v>15</v>
      </c>
      <c r="I93">
        <v>7</v>
      </c>
      <c r="J93" t="s">
        <v>20</v>
      </c>
      <c r="K93" t="s">
        <v>28</v>
      </c>
      <c r="L93">
        <v>14200</v>
      </c>
      <c r="M93">
        <f>#REF!-#REF!</f>
        <v>4</v>
      </c>
      <c r="N93" t="str">
        <f>TEXT(#REF!,"MMM")</f>
        <v>Apr</v>
      </c>
    </row>
    <row r="94" spans="1:14" x14ac:dyDescent="0.25">
      <c r="A94">
        <v>1093</v>
      </c>
      <c r="B94" s="1">
        <v>45751</v>
      </c>
      <c r="C94" s="1">
        <v>45755</v>
      </c>
      <c r="D94" t="s">
        <v>12</v>
      </c>
      <c r="E94" t="s">
        <v>19</v>
      </c>
      <c r="F94" t="s">
        <v>14</v>
      </c>
      <c r="G94">
        <v>42</v>
      </c>
      <c r="H94" t="s">
        <v>15</v>
      </c>
      <c r="I94">
        <v>62</v>
      </c>
      <c r="J94" t="s">
        <v>16</v>
      </c>
      <c r="K94" t="s">
        <v>17</v>
      </c>
      <c r="L94">
        <v>39000</v>
      </c>
      <c r="M94">
        <f>#REF!-#REF!</f>
        <v>4</v>
      </c>
      <c r="N94" t="str">
        <f>TEXT(#REF!,"MMM")</f>
        <v>Apr</v>
      </c>
    </row>
    <row r="95" spans="1:14" x14ac:dyDescent="0.25">
      <c r="A95">
        <v>1094</v>
      </c>
      <c r="B95" s="1">
        <v>45752</v>
      </c>
      <c r="C95" s="1">
        <v>45752</v>
      </c>
      <c r="D95" t="s">
        <v>22</v>
      </c>
      <c r="E95" t="s">
        <v>23</v>
      </c>
      <c r="F95" t="s">
        <v>15</v>
      </c>
      <c r="G95">
        <v>14</v>
      </c>
      <c r="H95" t="s">
        <v>14</v>
      </c>
      <c r="I95">
        <v>42</v>
      </c>
      <c r="J95" t="s">
        <v>20</v>
      </c>
      <c r="K95" t="s">
        <v>24</v>
      </c>
      <c r="L95">
        <v>3300</v>
      </c>
      <c r="M95">
        <f>#REF!-#REF!</f>
        <v>0</v>
      </c>
      <c r="N95" t="str">
        <f>TEXT(#REF!,"MMM")</f>
        <v>Apr</v>
      </c>
    </row>
    <row r="96" spans="1:14" x14ac:dyDescent="0.25">
      <c r="A96">
        <v>1095</v>
      </c>
      <c r="B96" s="1">
        <v>45753</v>
      </c>
      <c r="C96" s="1">
        <v>45757</v>
      </c>
      <c r="D96" t="s">
        <v>18</v>
      </c>
      <c r="E96" t="s">
        <v>13</v>
      </c>
      <c r="F96" t="s">
        <v>14</v>
      </c>
      <c r="G96">
        <v>63</v>
      </c>
      <c r="H96" t="s">
        <v>15</v>
      </c>
      <c r="I96">
        <v>54</v>
      </c>
      <c r="J96" t="s">
        <v>16</v>
      </c>
      <c r="K96" t="s">
        <v>21</v>
      </c>
      <c r="L96">
        <v>44500</v>
      </c>
      <c r="M96">
        <f>#REF!-#REF!</f>
        <v>4</v>
      </c>
      <c r="N96" t="str">
        <f>TEXT(#REF!,"MMM")</f>
        <v>Apr</v>
      </c>
    </row>
    <row r="97" spans="1:14" x14ac:dyDescent="0.25">
      <c r="A97">
        <v>1096</v>
      </c>
      <c r="B97" s="1">
        <v>45754</v>
      </c>
      <c r="C97" s="1">
        <v>45754</v>
      </c>
      <c r="D97" t="s">
        <v>29</v>
      </c>
      <c r="E97" t="s">
        <v>23</v>
      </c>
      <c r="F97" t="s">
        <v>15</v>
      </c>
      <c r="G97">
        <v>10</v>
      </c>
      <c r="H97" t="s">
        <v>14</v>
      </c>
      <c r="I97">
        <v>25</v>
      </c>
      <c r="J97" t="s">
        <v>20</v>
      </c>
      <c r="K97" t="s">
        <v>30</v>
      </c>
      <c r="L97">
        <v>2200</v>
      </c>
      <c r="M97">
        <f>#REF!-#REF!</f>
        <v>0</v>
      </c>
      <c r="N97" t="str">
        <f>TEXT(#REF!,"MMM")</f>
        <v>Apr</v>
      </c>
    </row>
    <row r="98" spans="1:14" x14ac:dyDescent="0.25">
      <c r="A98">
        <v>1097</v>
      </c>
      <c r="B98" s="1">
        <v>45755</v>
      </c>
      <c r="C98" s="1">
        <v>45759</v>
      </c>
      <c r="D98" t="s">
        <v>25</v>
      </c>
      <c r="E98" t="s">
        <v>19</v>
      </c>
      <c r="F98" t="s">
        <v>14</v>
      </c>
      <c r="G98">
        <v>38</v>
      </c>
      <c r="H98" t="s">
        <v>15</v>
      </c>
      <c r="I98">
        <v>67</v>
      </c>
      <c r="J98" t="s">
        <v>20</v>
      </c>
      <c r="K98" t="s">
        <v>26</v>
      </c>
      <c r="L98">
        <v>47000</v>
      </c>
      <c r="M98">
        <f>#REF!-#REF!</f>
        <v>4</v>
      </c>
      <c r="N98" t="str">
        <f>TEXT(#REF!,"MMM")</f>
        <v>Apr</v>
      </c>
    </row>
    <row r="99" spans="1:14" x14ac:dyDescent="0.25">
      <c r="A99">
        <v>1098</v>
      </c>
      <c r="B99" s="1">
        <v>45756</v>
      </c>
      <c r="C99" s="1">
        <v>45756</v>
      </c>
      <c r="D99" t="s">
        <v>31</v>
      </c>
      <c r="E99" t="s">
        <v>23</v>
      </c>
      <c r="F99" t="s">
        <v>15</v>
      </c>
      <c r="G99">
        <v>16</v>
      </c>
      <c r="H99" t="s">
        <v>14</v>
      </c>
      <c r="I99">
        <v>36</v>
      </c>
      <c r="J99" t="s">
        <v>16</v>
      </c>
      <c r="K99" t="s">
        <v>32</v>
      </c>
      <c r="L99">
        <v>2230</v>
      </c>
      <c r="M99">
        <f>#REF!-#REF!</f>
        <v>0</v>
      </c>
      <c r="N99" t="str">
        <f>TEXT(#REF!,"MMM")</f>
        <v>Apr</v>
      </c>
    </row>
    <row r="100" spans="1:14" x14ac:dyDescent="0.25">
      <c r="A100">
        <v>1099</v>
      </c>
      <c r="B100" s="1">
        <v>45757</v>
      </c>
      <c r="C100" s="1">
        <v>45761</v>
      </c>
      <c r="D100" t="s">
        <v>33</v>
      </c>
      <c r="E100" t="s">
        <v>13</v>
      </c>
      <c r="F100" t="s">
        <v>14</v>
      </c>
      <c r="G100">
        <v>47</v>
      </c>
      <c r="H100" t="s">
        <v>15</v>
      </c>
      <c r="I100">
        <v>38</v>
      </c>
      <c r="J100" t="s">
        <v>20</v>
      </c>
      <c r="K100" t="s">
        <v>34</v>
      </c>
      <c r="L100">
        <v>27800</v>
      </c>
      <c r="M100">
        <f>#REF!-#REF!</f>
        <v>4</v>
      </c>
      <c r="N100" t="str">
        <f>TEXT(#REF!,"MMM")</f>
        <v>Apr</v>
      </c>
    </row>
    <row r="101" spans="1:14" x14ac:dyDescent="0.25">
      <c r="A101">
        <v>1100</v>
      </c>
      <c r="B101" s="1">
        <v>45758</v>
      </c>
      <c r="C101" s="1">
        <v>45758</v>
      </c>
      <c r="D101" t="s">
        <v>27</v>
      </c>
      <c r="E101" t="s">
        <v>23</v>
      </c>
      <c r="F101" t="s">
        <v>15</v>
      </c>
      <c r="G101">
        <v>11</v>
      </c>
      <c r="H101" t="s">
        <v>14</v>
      </c>
      <c r="I101">
        <v>10</v>
      </c>
      <c r="J101" t="s">
        <v>16</v>
      </c>
      <c r="K101" t="s">
        <v>28</v>
      </c>
      <c r="L101">
        <v>2700</v>
      </c>
      <c r="M101">
        <f>#REF!-#REF!</f>
        <v>0</v>
      </c>
      <c r="N101" t="str">
        <f>TEXT(#REF!,"MMM")</f>
        <v>Apr</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4632C-2331-45D4-888F-F4AD1ED664FD}">
  <dimension ref="A1:B5"/>
  <sheetViews>
    <sheetView zoomScale="145" zoomScaleNormal="145" workbookViewId="0">
      <selection sqref="A1:A5"/>
    </sheetView>
  </sheetViews>
  <sheetFormatPr defaultRowHeight="15" x14ac:dyDescent="0.25"/>
  <cols>
    <col min="1" max="1" width="21.5703125" bestFit="1" customWidth="1"/>
  </cols>
  <sheetData>
    <row r="1" spans="1:2" x14ac:dyDescent="0.25">
      <c r="A1" s="2" t="s">
        <v>37</v>
      </c>
      <c r="B1">
        <f>COUNT(Sheet1!A2:A101)</f>
        <v>100</v>
      </c>
    </row>
    <row r="2" spans="1:2" x14ac:dyDescent="0.25">
      <c r="A2" s="2" t="s">
        <v>38</v>
      </c>
      <c r="B2" s="3">
        <f>COUNTIF(Sheet1!F:F,"Yes")/COUNTA(Sheet1!F:F)</f>
        <v>0.5544554455445545</v>
      </c>
    </row>
    <row r="3" spans="1:2" x14ac:dyDescent="0.25">
      <c r="A3" s="2" t="s">
        <v>39</v>
      </c>
      <c r="B3" s="5">
        <f>AVERAGE(Sheet1!M:M)</f>
        <v>2</v>
      </c>
    </row>
    <row r="4" spans="1:2" x14ac:dyDescent="0.25">
      <c r="A4" s="2" t="s">
        <v>40</v>
      </c>
      <c r="B4" s="5">
        <f>AVERAGE(Sheet1!G:G)</f>
        <v>30.15</v>
      </c>
    </row>
    <row r="5" spans="1:2" x14ac:dyDescent="0.25">
      <c r="A5" s="2" t="s">
        <v>41</v>
      </c>
      <c r="B5" s="4">
        <f>COUNTIF(Sheet1!H:H,"Yes")/COUNTA(Sheet1!H:H)</f>
        <v>0.43564356435643564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E6C94-1941-4E68-8107-B4D55A6C86E1}">
  <dimension ref="A3:B12"/>
  <sheetViews>
    <sheetView workbookViewId="0">
      <selection activeCell="M4" sqref="M4"/>
    </sheetView>
  </sheetViews>
  <sheetFormatPr defaultRowHeight="15" x14ac:dyDescent="0.25"/>
  <cols>
    <col min="1" max="1" width="16.85546875" bestFit="1" customWidth="1"/>
    <col min="2" max="2" width="18.5703125" bestFit="1" customWidth="1"/>
  </cols>
  <sheetData>
    <row r="3" spans="1:2" x14ac:dyDescent="0.25">
      <c r="A3" s="6" t="s">
        <v>42</v>
      </c>
      <c r="B3" t="s">
        <v>44</v>
      </c>
    </row>
    <row r="4" spans="1:2" x14ac:dyDescent="0.25">
      <c r="A4" s="7" t="s">
        <v>12</v>
      </c>
      <c r="B4" s="8">
        <v>13</v>
      </c>
    </row>
    <row r="5" spans="1:2" x14ac:dyDescent="0.25">
      <c r="A5" s="7" t="s">
        <v>29</v>
      </c>
      <c r="B5" s="8">
        <v>12</v>
      </c>
    </row>
    <row r="6" spans="1:2" x14ac:dyDescent="0.25">
      <c r="A6" s="7" t="s">
        <v>31</v>
      </c>
      <c r="B6" s="8">
        <v>12</v>
      </c>
    </row>
    <row r="7" spans="1:2" x14ac:dyDescent="0.25">
      <c r="A7" s="7" t="s">
        <v>22</v>
      </c>
      <c r="B7" s="8">
        <v>12</v>
      </c>
    </row>
    <row r="8" spans="1:2" x14ac:dyDescent="0.25">
      <c r="A8" s="7" t="s">
        <v>33</v>
      </c>
      <c r="B8" s="8">
        <v>12</v>
      </c>
    </row>
    <row r="9" spans="1:2" x14ac:dyDescent="0.25">
      <c r="A9" s="7" t="s">
        <v>25</v>
      </c>
      <c r="B9" s="8">
        <v>13</v>
      </c>
    </row>
    <row r="10" spans="1:2" x14ac:dyDescent="0.25">
      <c r="A10" s="7" t="s">
        <v>18</v>
      </c>
      <c r="B10" s="8">
        <v>13</v>
      </c>
    </row>
    <row r="11" spans="1:2" x14ac:dyDescent="0.25">
      <c r="A11" s="7" t="s">
        <v>27</v>
      </c>
      <c r="B11" s="8">
        <v>13</v>
      </c>
    </row>
    <row r="12" spans="1:2" x14ac:dyDescent="0.25">
      <c r="A12" s="7" t="s">
        <v>43</v>
      </c>
      <c r="B12" s="8">
        <v>100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pivot_month</vt:lpstr>
      <vt:lpstr>Pivot_Admission</vt:lpstr>
      <vt:lpstr>Dashboard</vt:lpstr>
      <vt:lpstr>Sheet1</vt:lpstr>
      <vt:lpstr>KPI 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Nitish Banga</cp:lastModifiedBy>
  <dcterms:created xsi:type="dcterms:W3CDTF">2015-06-05T18:17:20Z</dcterms:created>
  <dcterms:modified xsi:type="dcterms:W3CDTF">2026-05-06T06:52:05Z</dcterms:modified>
</cp:coreProperties>
</file>